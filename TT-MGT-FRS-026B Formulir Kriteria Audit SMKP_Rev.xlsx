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laragon\www\audit\"/>
    </mc:Choice>
  </mc:AlternateContent>
  <xr:revisionPtr revIDLastSave="0" documentId="13_ncr:1_{D1EC68BC-01D0-45C9-8352-1CB5F18FB901}" xr6:coauthVersionLast="47" xr6:coauthVersionMax="47" xr10:uidLastSave="{00000000-0000-0000-0000-000000000000}"/>
  <bookViews>
    <workbookView xWindow="-108" yWindow="-108" windowWidth="23256" windowHeight="12456" tabRatio="296" xr2:uid="{00000000-000D-0000-FFFF-FFFF00000000}"/>
  </bookViews>
  <sheets>
    <sheet name="CHECKLIST" sheetId="8" r:id="rId1"/>
  </sheets>
  <definedNames>
    <definedName name="_xlnm.Print_Titles" localSheetId="0">CHECKLIST!$5:$6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17" i="8" l="1"/>
  <c r="M127" i="8" l="1"/>
  <c r="M121" i="8"/>
  <c r="K40" i="8" l="1"/>
  <c r="K44" i="8" l="1"/>
  <c r="I44" i="8"/>
  <c r="M7" i="8" l="1"/>
  <c r="I7" i="8"/>
  <c r="H134" i="8" l="1"/>
  <c r="I127" i="8" l="1"/>
  <c r="I121" i="8"/>
  <c r="K112" i="8"/>
  <c r="K103" i="8"/>
  <c r="I112" i="8"/>
  <c r="I103" i="8"/>
  <c r="I102" i="8" s="1"/>
  <c r="K94" i="8"/>
  <c r="K90" i="8"/>
  <c r="K85" i="8"/>
  <c r="K79" i="8"/>
  <c r="K68" i="8"/>
  <c r="K57" i="8"/>
  <c r="K53" i="8"/>
  <c r="I94" i="8"/>
  <c r="I90" i="8"/>
  <c r="I85" i="8"/>
  <c r="I79" i="8"/>
  <c r="I68" i="8"/>
  <c r="I57" i="8"/>
  <c r="I53" i="8"/>
  <c r="K29" i="8"/>
  <c r="I40" i="8"/>
  <c r="I29" i="8"/>
  <c r="M15" i="8"/>
  <c r="I17" i="8"/>
  <c r="I15" i="8" s="1"/>
  <c r="I27" i="8" l="1"/>
  <c r="I52" i="8"/>
  <c r="I134" i="8" s="1"/>
  <c r="N121" i="8"/>
  <c r="M102" i="8"/>
  <c r="M52" i="8"/>
  <c r="M27" i="8"/>
  <c r="N15" i="8"/>
  <c r="N7" i="8"/>
  <c r="N127" i="8"/>
  <c r="N102" i="8" l="1"/>
  <c r="N52" i="8"/>
  <c r="N27" i="8"/>
  <c r="M134" i="8"/>
  <c r="N134" i="8" l="1"/>
</calcChain>
</file>

<file path=xl/sharedStrings.xml><?xml version="1.0" encoding="utf-8"?>
<sst xmlns="http://schemas.openxmlformats.org/spreadsheetml/2006/main" count="259" uniqueCount="250">
  <si>
    <t>KRITERIA</t>
  </si>
  <si>
    <t>KEBIJAKAN</t>
  </si>
  <si>
    <t>I</t>
  </si>
  <si>
    <t>I.1</t>
  </si>
  <si>
    <t>I.2</t>
  </si>
  <si>
    <t>lsi  Kebiiakan</t>
  </si>
  <si>
    <t>Komunikasi Kebijakan</t>
  </si>
  <si>
    <t>Tinjauan Kebijakan</t>
  </si>
  <si>
    <t>II</t>
  </si>
  <si>
    <t>PERENCANAAN</t>
  </si>
  <si>
    <t>I.3</t>
  </si>
  <si>
    <t>I.4</t>
  </si>
  <si>
    <t>I.5</t>
  </si>
  <si>
    <t>II.1</t>
  </si>
  <si>
    <t>Penelaahan Awal</t>
  </si>
  <si>
    <t>II.2</t>
  </si>
  <si>
    <t>Manajemen Risiko</t>
  </si>
  <si>
    <t>II.2.1</t>
  </si>
  <si>
    <t>Komunikasi dan konsultasi risiko</t>
  </si>
  <si>
    <t>II.2.2</t>
  </si>
  <si>
    <t>Penetapan konteks risiko</t>
  </si>
  <si>
    <t>Sistem dan pelaksanaan pemeliharaan / perawatan sarana, prasarana, instalasi, dan peralatan pertambangan</t>
  </si>
  <si>
    <t>Kompetensi tenaga teknik</t>
  </si>
  <si>
    <t>II.2.3</t>
  </si>
  <si>
    <t>II.2.4</t>
  </si>
  <si>
    <t>II.2.5</t>
  </si>
  <si>
    <t>Pemantauan dan peninjauan</t>
  </si>
  <si>
    <t>II.3</t>
  </si>
  <si>
    <t>Identifikasi dan Kepatuhan Terhadap Ketentuan Peraturan Perundang-undangan dan Persyaratan Lainnya yang Terkait</t>
  </si>
  <si>
    <t>II.4</t>
  </si>
  <si>
    <t>Penetapan Tujuan, Sasaran, dan Program</t>
  </si>
  <si>
    <t>II.5</t>
  </si>
  <si>
    <t>III</t>
  </si>
  <si>
    <t>ORGANISASI DAN PERSONEL</t>
  </si>
  <si>
    <t>III.1</t>
  </si>
  <si>
    <t>III.2</t>
  </si>
  <si>
    <t>Penunjukan KTT, Kepala Tambang Bawah Tanah, dan/atau Kepala Kapal Keruk untuk Perusahaan Pertambangan</t>
  </si>
  <si>
    <t>III.2.1</t>
  </si>
  <si>
    <t>Penunjukan KTT</t>
  </si>
  <si>
    <t>III.2.2</t>
  </si>
  <si>
    <t>Penunjukan Kepala Tambang Bawah Tanah</t>
  </si>
  <si>
    <t>III.2.3</t>
  </si>
  <si>
    <t>Penunjukan Kepala Kapal Keruk</t>
  </si>
  <si>
    <t>III.3</t>
  </si>
  <si>
    <t>III.4</t>
  </si>
  <si>
    <t>III.5</t>
  </si>
  <si>
    <t>Penunjukan Pengawas Operasional dan Pengawas Teknik</t>
  </si>
  <si>
    <t>III.6</t>
  </si>
  <si>
    <t>Penunjukan Tenaga Teknik Khusus Pertambangan</t>
  </si>
  <si>
    <t>III.7</t>
  </si>
  <si>
    <t>Pembentukan dan Penetapan Komite Keselamatan Pertambangan</t>
  </si>
  <si>
    <t>III.8</t>
  </si>
  <si>
    <t>Penunjukan Tim Tanggap Darurat</t>
  </si>
  <si>
    <t>III.9</t>
  </si>
  <si>
    <t>Seleksi dan Penempatan Personel</t>
  </si>
  <si>
    <t>III.10</t>
  </si>
  <si>
    <t>Penyelenggaraan dan Pelaksanaan Pendidikan dan Pelatihan Serta Kompetensi Kerja</t>
  </si>
  <si>
    <t>III.10.1</t>
  </si>
  <si>
    <t>Pendidikan dan pelatihan pekerja tambang</t>
  </si>
  <si>
    <t>III.10.2</t>
  </si>
  <si>
    <t>Kompetensi Kerja</t>
  </si>
  <si>
    <t>III.11</t>
  </si>
  <si>
    <t>Penyusunan, Penetapan, dan Penerapan Komunikasi Keselamatan Pertambangan</t>
  </si>
  <si>
    <t>III.12</t>
  </si>
  <si>
    <t>Pengelolaan Administrasi Keselamatan Pertambangan</t>
  </si>
  <si>
    <t>III.12.1</t>
  </si>
  <si>
    <t>Buku tambang</t>
  </si>
  <si>
    <t>III.12.2</t>
  </si>
  <si>
    <t>Buku daftar kecelakaan tambang</t>
  </si>
  <si>
    <t>III.12.3</t>
  </si>
  <si>
    <t>Pelaporan pengelolaan Keselamatan Pertambangan</t>
  </si>
  <si>
    <t>III.13</t>
  </si>
  <si>
    <t>IV</t>
  </si>
  <si>
    <t>IMPLEMENTASI</t>
  </si>
  <si>
    <t>IV.1</t>
  </si>
  <si>
    <t>Pelaksanaan Pengelolaan Operasional</t>
  </si>
  <si>
    <t>IV.1.1</t>
  </si>
  <si>
    <t>IV.1.2</t>
  </si>
  <si>
    <t>IV.1.3</t>
  </si>
  <si>
    <t>IV.2</t>
  </si>
  <si>
    <t>Pelaksanaan Pengelolaan Lingkungan Kerja</t>
  </si>
  <si>
    <t>IV.3</t>
  </si>
  <si>
    <t>IV.4</t>
  </si>
  <si>
    <t>IV.4.1</t>
  </si>
  <si>
    <t>IV.4.2</t>
  </si>
  <si>
    <t>Pengamanan instalasi</t>
  </si>
  <si>
    <t>IV.4.3</t>
  </si>
  <si>
    <t>Kelayakan sarana, prasarana, instalasi, dan peralatan pertambangan</t>
  </si>
  <si>
    <t>IV.4.4</t>
  </si>
  <si>
    <t>IV.5</t>
  </si>
  <si>
    <t>IV.5.1</t>
  </si>
  <si>
    <t>Gudang bahan peledak</t>
  </si>
  <si>
    <t>IV.5.2</t>
  </si>
  <si>
    <t>Penyimpanan bahan peledak</t>
  </si>
  <si>
    <t>IV.5.3</t>
  </si>
  <si>
    <t>Pengangkutan bahan peledak</t>
  </si>
  <si>
    <t>IV.5.4</t>
  </si>
  <si>
    <t>Pekerjaan peledakan</t>
  </si>
  <si>
    <t>IV.6</t>
  </si>
  <si>
    <t>IV.6.1</t>
  </si>
  <si>
    <t>Perancangan dan rekayasa</t>
  </si>
  <si>
    <t>IV.6.2</t>
  </si>
  <si>
    <t>Perubahan</t>
  </si>
  <si>
    <t>IV.7</t>
  </si>
  <si>
    <t>IV.8</t>
  </si>
  <si>
    <t>IV.8.1</t>
  </si>
  <si>
    <t>Persyaratan, seleksi dan penetapan perusahaan jasa pertambangan</t>
  </si>
  <si>
    <t>Tanggung jawab, pemantauan dan pelaporan perusahaan jasa pertambangan</t>
  </si>
  <si>
    <t>IV.8.2</t>
  </si>
  <si>
    <t>IV.8.3</t>
  </si>
  <si>
    <t>Evaluasi perusahaan jasa pertambangan</t>
  </si>
  <si>
    <t>IV.9</t>
  </si>
  <si>
    <t>IV.10</t>
  </si>
  <si>
    <t>Penyediaan dan Penyiapan P3K</t>
  </si>
  <si>
    <t>IV.11</t>
  </si>
  <si>
    <t>V</t>
  </si>
  <si>
    <t>V.1</t>
  </si>
  <si>
    <t>Pemantauan dan pengukuran kinerja</t>
  </si>
  <si>
    <t>V.1.1</t>
  </si>
  <si>
    <t>V.1.2</t>
  </si>
  <si>
    <t>V.1.3</t>
  </si>
  <si>
    <t>V.1.4</t>
  </si>
  <si>
    <t>V.1.5</t>
  </si>
  <si>
    <t>V.2</t>
  </si>
  <si>
    <t>V.3</t>
  </si>
  <si>
    <t>V.4</t>
  </si>
  <si>
    <t>V.5</t>
  </si>
  <si>
    <t>V.5.1</t>
  </si>
  <si>
    <t>V.5.2</t>
  </si>
  <si>
    <t>V.5.3</t>
  </si>
  <si>
    <t>Pelaporan pengelolaan keselamatan pertambangan</t>
  </si>
  <si>
    <t>V.6</t>
  </si>
  <si>
    <t>V.7</t>
  </si>
  <si>
    <t>VI</t>
  </si>
  <si>
    <t>DOKUMENTASI</t>
  </si>
  <si>
    <t>VI.1</t>
  </si>
  <si>
    <t>VI.2</t>
  </si>
  <si>
    <t>VI.3</t>
  </si>
  <si>
    <t>VI.4</t>
  </si>
  <si>
    <t>VII</t>
  </si>
  <si>
    <t>TOTAL</t>
  </si>
  <si>
    <t>Komitmen Keselamatan Pertambangan tertulis dalam bentuk kebijakan tertulis</t>
  </si>
  <si>
    <t xml:space="preserve">Penyusunan Kebijakan                                                                                 </t>
  </si>
  <si>
    <t>Rencana Kerja dan Anggaran Keselamatan Pertambangan</t>
  </si>
  <si>
    <t>Penyusunan dan Penetapan Struktur Organisasi, Tugas, Tanggung Jawab, dan Wewenang</t>
  </si>
  <si>
    <t>Penunjukan PJO Untuk Perusahaan Jasa Pertambangan</t>
  </si>
  <si>
    <t>Pembentukan dan Penetapan Bagian K3 Pertambangan dan KO Pertambangan</t>
  </si>
  <si>
    <t>Penyusunan, Penerapan, dan Pendokumentasian Prosedur Partisipasi, Konsultasi, Motivasi, dan Kesadaran Penerapan SMKP Minerba</t>
  </si>
  <si>
    <t>Pelaksanaan Pengelolaan Kesehatan Kerja</t>
  </si>
  <si>
    <t>Pelaksanaan Pengelolaan KO Pertambangan</t>
  </si>
  <si>
    <t>Penetapan Sistem Pembelian</t>
  </si>
  <si>
    <t>Pemantauan dan Pengelolaan Perusahaan Jasa Pertambangan</t>
  </si>
  <si>
    <t xml:space="preserve">Pengelolaan Keadaan Darurat </t>
  </si>
  <si>
    <t>Inspeksi Pelaksanaan Keselamatan Pertambangan</t>
  </si>
  <si>
    <t>Evaluasi kepatuhan Terhadap Ketentuan Peraturan Perundang-Undangan dan Persyaratan Lainnya Yang Terkait</t>
  </si>
  <si>
    <t>Penyelidikan Kecelakaan, Kejadian Berbahaya, dan Penyakit Akibat Kerja</t>
  </si>
  <si>
    <t>Evaluasi Pengelolaan Administrasi Keselamatan Pertambangan</t>
  </si>
  <si>
    <t>Penetapan Jenis Dokumen dan Rekaman</t>
  </si>
  <si>
    <t>KETERANGAN</t>
  </si>
  <si>
    <t>Nilai Sub Elemen</t>
  </si>
  <si>
    <t>Nilai Sub sub Elemen</t>
  </si>
  <si>
    <t>Nilai Audit</t>
  </si>
  <si>
    <t>Penetapan Sistem Perancangan dan Rekayasa</t>
  </si>
  <si>
    <t>Nilai Elemen %</t>
  </si>
  <si>
    <t>Nilai sub sub elemen</t>
  </si>
  <si>
    <t>Total Nilai Elemen</t>
  </si>
  <si>
    <t>Presentase Nilai Elemen</t>
  </si>
  <si>
    <t>Dokumentasi Kejadian Berbahaya, kejadian akibat penyakit tenaga kerja dan penyakit akibat kerja</t>
  </si>
  <si>
    <t>III.12.4</t>
  </si>
  <si>
    <t>Penyusunan, Penetapan, Penerapan, Pendokumentasian, dan Evaluasi Prosedur Operasi / Kerja</t>
  </si>
  <si>
    <t>Penyusunan, Penetapan, Penerapan, Pendokumentasian, dan Evaluasi Izin kerja khusus</t>
  </si>
  <si>
    <t>Penyusunan, Penetapan, Penerapan, Pendokumentasian, dan Evaluasi Prosedur Operasi / Kerja Alat pelindung diri dan alat keselamatan</t>
  </si>
  <si>
    <t>IV.2.1</t>
  </si>
  <si>
    <t>Pelaksanaan pengelolaan Bahaya Debu</t>
  </si>
  <si>
    <t>IV.2.2</t>
  </si>
  <si>
    <t>Pelaksanaan pengelolaan Bahaya Kebisingan</t>
  </si>
  <si>
    <t>IV.2.3</t>
  </si>
  <si>
    <t>IV.2.4</t>
  </si>
  <si>
    <t>IV.2.5</t>
  </si>
  <si>
    <t>IV.2.6</t>
  </si>
  <si>
    <t>IV.2.7</t>
  </si>
  <si>
    <t>IV.2.8</t>
  </si>
  <si>
    <t>IV.2.9</t>
  </si>
  <si>
    <t>IV.2.10</t>
  </si>
  <si>
    <t>Pelaksanaan pengelolaan Bahaya Getaran</t>
  </si>
  <si>
    <t>Pelaksanaan pengelolaan Bahaya Pencahayaan</t>
  </si>
  <si>
    <t>Pelaksanaan pengelolaan Kuantitas dan Kualitas Udara Kerja</t>
  </si>
  <si>
    <t>Pelaksanaan pengelolaan Iklim Kerja</t>
  </si>
  <si>
    <t>Pelaksanaan pengelolaan Bahaya Radiasi</t>
  </si>
  <si>
    <t>Pelaksanaan pengelolaan Faktor Kimia</t>
  </si>
  <si>
    <t>Pelaksanaan pengelolaan Faktor Biologi</t>
  </si>
  <si>
    <t>Pelaksanaan Kebersihan Lingkungan Kerja</t>
  </si>
  <si>
    <t>IV.3.1</t>
  </si>
  <si>
    <t>IV.3.2</t>
  </si>
  <si>
    <t>Pemeriksaan Kesehatan</t>
  </si>
  <si>
    <t>Pelayanan Kesehatan Kerja</t>
  </si>
  <si>
    <t>Pertolongan Pertama pada Kecelakaan</t>
  </si>
  <si>
    <t>Pengelolaan Kelelahan Kerja (Fatigue)</t>
  </si>
  <si>
    <t>Pengelolaan Pekerja pada Tempat yang Memiliki Risiko Kesehatan Tinggi</t>
  </si>
  <si>
    <t>Pengelolaan Rekaman Data Kesehatan Kerja</t>
  </si>
  <si>
    <t>Pengelolaan Higiene dan Sanitasi</t>
  </si>
  <si>
    <t>Pengelolaan Ergonomi</t>
  </si>
  <si>
    <t>Pengelolaan Makanan, Minuman dan Gizi Pekerja</t>
  </si>
  <si>
    <t>Diagnosis dan Pemeriksaan Penyakit Akibat Kerja</t>
  </si>
  <si>
    <t>IV.3.3</t>
  </si>
  <si>
    <t>IV.3.4</t>
  </si>
  <si>
    <t>IV.3.5</t>
  </si>
  <si>
    <t>IV.3.6</t>
  </si>
  <si>
    <t>IV.3.7</t>
  </si>
  <si>
    <t>IV.3.8</t>
  </si>
  <si>
    <t>IV.3.9</t>
  </si>
  <si>
    <t>IV.3.10</t>
  </si>
  <si>
    <t>Pelaksanaan Pengelolaan Bahan Peledak dan Peledakan</t>
  </si>
  <si>
    <t>Pemantauan dan Pengukuran Pencapaian Tujuan, Sasaran, dan program Keselamatan Pertambangan</t>
  </si>
  <si>
    <t>Pemantauan dan Pengukuran Kinerja Pengelolaan lingkungan kerja</t>
  </si>
  <si>
    <t>Pemantauan dan Pengukuran Kinerja Pengelolaan kesehatan kerja</t>
  </si>
  <si>
    <t>Pemantauan dan Pengukuran Kinerja Pengelolaan Keselamatan Operasi pertambangan</t>
  </si>
  <si>
    <t>Pemantauan dan Pengukuran Kinerja Pengelolaan Bahan Peledak dan Peledakan</t>
  </si>
  <si>
    <t>V.5.4</t>
  </si>
  <si>
    <t>V.5.5</t>
  </si>
  <si>
    <t>Dokumentasi dan Laporan pemenuhan Kompetensi serta Persyaratan Lainnya</t>
  </si>
  <si>
    <t>Audit Internal Penerapan SMKP Minerba atau SMKP Khusus untuk pengolahan dan/ atau pemurnian</t>
  </si>
  <si>
    <t xml:space="preserve">Rencana Perbaikan dan Tindak Lanjut </t>
  </si>
  <si>
    <t>Penyusunan Penetapan dan Pendokumentasian Manual SMKP Minerba atau SMKP Khusus pada Pengolahan dan/atau Pemurnian</t>
  </si>
  <si>
    <t>Penyusunan Penetapan, Penerapan dan Pendokumentasian Prosedur pengendalian Dokumen Keselamatan Pertambangan</t>
  </si>
  <si>
    <t>Penyusunan Penetapan, Penerapan dan Pendokumentasian Prosedur pengendalian Rekaman Keselamatan Pertambangan</t>
  </si>
  <si>
    <t xml:space="preserve">VII.1 </t>
  </si>
  <si>
    <t>Pelaksanaan Tinjauan Manajemen Penerapan SMKP Minerba atau SMKP Khusus pada pengolahan dan/atau Pemurnian oleh Manajemen Tertinggi Perusahaan</t>
  </si>
  <si>
    <t>Pendokumentasian Catatan Hasil Tinjauan Manajemen</t>
  </si>
  <si>
    <t xml:space="preserve">Keluaran dari Tinjauan Manajemen Keselamatan Pertambangan </t>
  </si>
  <si>
    <t>Pencatatan, Pendokumentasian, dan Pelaporan Hasil Tinjauan Manajemen</t>
  </si>
  <si>
    <t>Pelaksanaan Peningkatan Kinerja</t>
  </si>
  <si>
    <t>Penggunaan Tinjauan Hasil dari Tindak Lanjut Rencana Perbaikan dalam Penentuan Kebijakan</t>
  </si>
  <si>
    <t>VII.2</t>
  </si>
  <si>
    <t>VII.3</t>
  </si>
  <si>
    <t>VII.4</t>
  </si>
  <si>
    <t>VII.5</t>
  </si>
  <si>
    <t>VII.6</t>
  </si>
  <si>
    <t>III.12.5</t>
  </si>
  <si>
    <t>Dokumen dan Laporan Pemenuhan Kompetensi dan Persyaratan Lainnya</t>
  </si>
  <si>
    <t>IV.4.5</t>
  </si>
  <si>
    <t>Evaluasi Laporan Hasil Kajian Teknis Pertambangan</t>
  </si>
  <si>
    <t>Penetapan Kebijakan</t>
  </si>
  <si>
    <t>FORMULIR KRITERIA AUDIT SMKP MINERBA</t>
  </si>
  <si>
    <t>Identifikasi bahaya</t>
  </si>
  <si>
    <t>Penilaian dan pengendalian risiko</t>
  </si>
  <si>
    <t>PEMANTAUAN, EVALUASI DAN TINDAK LANJUT</t>
  </si>
  <si>
    <t>TINJAUAN MANAJEMEN DAN PENINGKATAN KINERJA</t>
  </si>
  <si>
    <t>N/A</t>
  </si>
  <si>
    <r>
      <t>Pelaksanaan keselamatan di luar pekerjaan (</t>
    </r>
    <r>
      <rPr>
        <b/>
        <i/>
        <sz val="16"/>
        <color theme="1"/>
        <rFont val="Arial"/>
        <family val="2"/>
      </rPr>
      <t>off the job safety</t>
    </r>
    <r>
      <rPr>
        <b/>
        <sz val="16"/>
        <color theme="1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</si>
</sst>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8"/>
      <color theme="1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  <scheme val="minor"/>
    </font>
    <font>
      <sz val="16"/>
      <color theme="1"/>
      <name val="Arial"/>
      <family val="2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b/>
      <sz val="16"/>
      <name val="Arial"/>
      <family val="2"/>
    </font>
    <font>
      <b/>
      <sz val="16"/>
      <color theme="1"/>
      <name val="Calibri"/>
      <family val="2"/>
      <scheme val="minor"/>
    </font>
    <font>
      <b/>
      <sz val="16"/>
      <color theme="0"/>
      <name val="Arial"/>
      <family val="2"/>
    </font>
    <font>
      <b/>
      <i/>
      <sz val="16"/>
      <color theme="1"/>
      <name val="Arial"/>
      <family val="2"/>
    </font>
    <font>
      <b/>
      <sz val="18"/>
      <color theme="1"/>
      <name val="Arial"/>
      <family val="2"/>
    </font>
    <font>
      <sz val="1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97">
    <xf numFmtId="0" fontId="0" fillId="0" borderId="0" xfId="0"/>
    <xf numFmtId="0" fontId="1" fillId="0" borderId="0" xfId="0" applyFont="1" applyAlignment="1">
      <alignment textRotation="90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15" fillId="0" borderId="0" xfId="0" applyFont="1"/>
    <xf numFmtId="0" fontId="1" fillId="0" borderId="4" xfId="0" applyFont="1" applyBorder="1"/>
    <xf numFmtId="0" fontId="4" fillId="2" borderId="4" xfId="0" applyFont="1" applyFill="1" applyBorder="1" applyAlignment="1">
      <alignment horizontal="center" vertical="center" textRotation="90" wrapText="1"/>
    </xf>
    <xf numFmtId="0" fontId="6" fillId="2" borderId="4" xfId="0" applyFont="1" applyFill="1" applyBorder="1" applyAlignment="1">
      <alignment horizontal="center" vertical="center" textRotation="90" wrapText="1"/>
    </xf>
    <xf numFmtId="9" fontId="11" fillId="6" borderId="4" xfId="0" applyNumberFormat="1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9" fontId="4" fillId="4" borderId="4" xfId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top"/>
    </xf>
    <xf numFmtId="164" fontId="4" fillId="3" borderId="4" xfId="0" applyNumberFormat="1" applyFont="1" applyFill="1" applyBorder="1" applyAlignment="1">
      <alignment horizontal="center" vertical="top"/>
    </xf>
    <xf numFmtId="0" fontId="6" fillId="0" borderId="4" xfId="0" applyFont="1" applyBorder="1" applyAlignment="1">
      <alignment vertical="center" wrapText="1"/>
    </xf>
    <xf numFmtId="0" fontId="6" fillId="5" borderId="4" xfId="0" applyFont="1" applyFill="1" applyBorder="1" applyAlignment="1">
      <alignment vertical="center" wrapText="1"/>
    </xf>
    <xf numFmtId="164" fontId="4" fillId="3" borderId="4" xfId="1" applyNumberFormat="1" applyFont="1" applyFill="1" applyBorder="1" applyAlignment="1">
      <alignment horizontal="center" vertical="top"/>
    </xf>
    <xf numFmtId="0" fontId="6" fillId="5" borderId="4" xfId="0" applyFont="1" applyFill="1" applyBorder="1" applyAlignment="1">
      <alignment vertical="center"/>
    </xf>
    <xf numFmtId="0" fontId="15" fillId="2" borderId="4" xfId="0" applyFont="1" applyFill="1" applyBorder="1"/>
    <xf numFmtId="0" fontId="6" fillId="2" borderId="4" xfId="0" applyFont="1" applyFill="1" applyBorder="1"/>
    <xf numFmtId="0" fontId="6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wrapText="1"/>
    </xf>
    <xf numFmtId="0" fontId="6" fillId="2" borderId="4" xfId="0" applyFont="1" applyFill="1" applyBorder="1" applyAlignment="1">
      <alignment vertical="center"/>
    </xf>
    <xf numFmtId="9" fontId="4" fillId="6" borderId="4" xfId="0" applyNumberFormat="1" applyFont="1" applyFill="1" applyBorder="1" applyAlignment="1">
      <alignment horizontal="center" vertical="top"/>
    </xf>
    <xf numFmtId="0" fontId="4" fillId="6" borderId="4" xfId="0" applyFont="1" applyFill="1" applyBorder="1" applyAlignment="1">
      <alignment horizontal="center" vertical="center"/>
    </xf>
    <xf numFmtId="9" fontId="4" fillId="3" borderId="4" xfId="1" applyFont="1" applyFill="1" applyBorder="1" applyAlignment="1">
      <alignment horizontal="center" vertical="top"/>
    </xf>
    <xf numFmtId="0" fontId="12" fillId="0" borderId="4" xfId="0" applyFont="1" applyBorder="1" applyAlignment="1">
      <alignment horizontal="center" vertical="top"/>
    </xf>
    <xf numFmtId="0" fontId="10" fillId="6" borderId="4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top"/>
    </xf>
    <xf numFmtId="0" fontId="12" fillId="0" borderId="4" xfId="0" applyFont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4" fillId="3" borderId="4" xfId="1" applyNumberFormat="1" applyFont="1" applyFill="1" applyBorder="1" applyAlignment="1">
      <alignment horizontal="center" vertical="top"/>
    </xf>
    <xf numFmtId="0" fontId="4" fillId="3" borderId="4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vertical="top"/>
    </xf>
    <xf numFmtId="0" fontId="4" fillId="6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top" wrapText="1"/>
    </xf>
    <xf numFmtId="0" fontId="4" fillId="3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top"/>
    </xf>
    <xf numFmtId="0" fontId="4" fillId="5" borderId="4" xfId="0" applyFont="1" applyFill="1" applyBorder="1" applyAlignment="1">
      <alignment horizontal="center" vertical="top" wrapText="1"/>
    </xf>
    <xf numFmtId="0" fontId="14" fillId="0" borderId="4" xfId="0" applyFont="1" applyBorder="1" applyAlignment="1">
      <alignment horizontal="center" vertical="top"/>
    </xf>
    <xf numFmtId="9" fontId="4" fillId="6" borderId="4" xfId="1" applyFont="1" applyFill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5" fillId="2" borderId="4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4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vertical="top" wrapText="1"/>
    </xf>
    <xf numFmtId="0" fontId="10" fillId="0" borderId="4" xfId="0" applyFont="1" applyBorder="1" applyAlignment="1">
      <alignment horizontal="center" vertical="top" wrapText="1"/>
    </xf>
    <xf numFmtId="0" fontId="10" fillId="6" borderId="4" xfId="0" applyFont="1" applyFill="1" applyBorder="1" applyAlignment="1">
      <alignment horizontal="center" vertical="center" wrapText="1"/>
    </xf>
    <xf numFmtId="9" fontId="4" fillId="6" borderId="4" xfId="0" applyNumberFormat="1" applyFont="1" applyFill="1" applyBorder="1" applyAlignment="1">
      <alignment horizontal="center" vertical="top" wrapText="1"/>
    </xf>
    <xf numFmtId="0" fontId="9" fillId="5" borderId="4" xfId="0" applyFont="1" applyFill="1" applyBorder="1" applyAlignment="1">
      <alignment vertical="center"/>
    </xf>
    <xf numFmtId="9" fontId="4" fillId="6" borderId="4" xfId="0" applyNumberFormat="1" applyFont="1" applyFill="1" applyBorder="1" applyAlignment="1">
      <alignment horizontal="center" vertical="center"/>
    </xf>
    <xf numFmtId="9" fontId="2" fillId="0" borderId="4" xfId="0" applyNumberFormat="1" applyFont="1" applyBorder="1" applyAlignment="1">
      <alignment horizontal="center" vertical="center"/>
    </xf>
    <xf numFmtId="0" fontId="1" fillId="5" borderId="4" xfId="0" applyFont="1" applyFill="1" applyBorder="1"/>
    <xf numFmtId="0" fontId="2" fillId="0" borderId="4" xfId="0" applyFont="1" applyBorder="1" applyAlignment="1">
      <alignment horizontal="center"/>
    </xf>
    <xf numFmtId="9" fontId="2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/>
    </xf>
    <xf numFmtId="0" fontId="4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4" fillId="5" borderId="4" xfId="0" applyFont="1" applyFill="1" applyBorder="1" applyAlignment="1">
      <alignment horizontal="left" vertical="top" wrapText="1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textRotation="90" wrapText="1"/>
    </xf>
    <xf numFmtId="0" fontId="6" fillId="2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6"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49998474074526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O134"/>
  <sheetViews>
    <sheetView tabSelected="1" view="pageBreakPreview" topLeftCell="A113" zoomScale="70" zoomScaleNormal="70" zoomScaleSheetLayoutView="70" zoomScalePageLayoutView="85" workbookViewId="0">
      <selection activeCell="R125" sqref="R125"/>
    </sheetView>
  </sheetViews>
  <sheetFormatPr defaultColWidth="8.88671875" defaultRowHeight="22.8" x14ac:dyDescent="0.4"/>
  <cols>
    <col min="1" max="1" width="1.109375" style="96" customWidth="1"/>
    <col min="2" max="2" width="4.88671875" style="16" customWidth="1"/>
    <col min="3" max="3" width="10.88671875" style="2" customWidth="1"/>
    <col min="4" max="4" width="10.6640625" style="9" customWidth="1"/>
    <col min="5" max="5" width="9.44140625" style="8" customWidth="1"/>
    <col min="6" max="6" width="4.109375" style="9" customWidth="1"/>
    <col min="7" max="7" width="69.6640625" style="8" customWidth="1"/>
    <col min="8" max="8" width="7.33203125" style="6" customWidth="1"/>
    <col min="9" max="9" width="12.33203125" style="3" customWidth="1"/>
    <col min="10" max="10" width="8.33203125" style="6" customWidth="1"/>
    <col min="11" max="11" width="8.33203125" style="4" customWidth="1"/>
    <col min="12" max="14" width="8.33203125" style="6" customWidth="1"/>
    <col min="15" max="15" width="30.88671875" style="5" customWidth="1"/>
    <col min="16" max="16384" width="8.88671875" style="2"/>
  </cols>
  <sheetData>
    <row r="1" spans="1:15" ht="13.8" x14ac:dyDescent="0.25">
      <c r="B1" s="93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5"/>
    </row>
    <row r="2" spans="1:15" ht="13.8" x14ac:dyDescent="0.25">
      <c r="B2" s="88" t="s">
        <v>243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</row>
    <row r="3" spans="1:15" ht="13.8" x14ac:dyDescent="0.25"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</row>
    <row r="4" spans="1:15" ht="13.8" x14ac:dyDescent="0.25">
      <c r="B4" s="93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5"/>
    </row>
    <row r="5" spans="1:15" s="1" customFormat="1" ht="20.399999999999999" x14ac:dyDescent="0.3">
      <c r="A5" s="96"/>
      <c r="B5" s="89" t="s">
        <v>0</v>
      </c>
      <c r="C5" s="89"/>
      <c r="D5" s="89"/>
      <c r="E5" s="89"/>
      <c r="F5" s="89"/>
      <c r="G5" s="89"/>
      <c r="H5" s="90" t="s">
        <v>163</v>
      </c>
      <c r="I5" s="90" t="s">
        <v>159</v>
      </c>
      <c r="J5" s="90" t="s">
        <v>160</v>
      </c>
      <c r="K5" s="91" t="s">
        <v>161</v>
      </c>
      <c r="L5" s="91"/>
      <c r="M5" s="91"/>
      <c r="N5" s="91"/>
      <c r="O5" s="89" t="s">
        <v>158</v>
      </c>
    </row>
    <row r="6" spans="1:15" s="1" customFormat="1" ht="190.2" x14ac:dyDescent="0.3">
      <c r="A6" s="96"/>
      <c r="B6" s="89"/>
      <c r="C6" s="89"/>
      <c r="D6" s="89"/>
      <c r="E6" s="89"/>
      <c r="F6" s="89"/>
      <c r="G6" s="89"/>
      <c r="H6" s="90"/>
      <c r="I6" s="90"/>
      <c r="J6" s="90"/>
      <c r="K6" s="18" t="s">
        <v>159</v>
      </c>
      <c r="L6" s="19" t="s">
        <v>164</v>
      </c>
      <c r="M6" s="19" t="s">
        <v>165</v>
      </c>
      <c r="N6" s="19" t="s">
        <v>166</v>
      </c>
      <c r="O6" s="89"/>
    </row>
    <row r="7" spans="1:15" s="5" customFormat="1" ht="21" x14ac:dyDescent="0.3">
      <c r="A7" s="96"/>
      <c r="B7" s="87" t="s">
        <v>2</v>
      </c>
      <c r="C7" s="84" t="s">
        <v>1</v>
      </c>
      <c r="D7" s="92"/>
      <c r="E7" s="92"/>
      <c r="F7" s="92"/>
      <c r="G7" s="92"/>
      <c r="H7" s="20">
        <v>0.1</v>
      </c>
      <c r="I7" s="21">
        <f>SUM(I9:I13)</f>
        <v>19</v>
      </c>
      <c r="J7" s="22"/>
      <c r="K7" s="23"/>
      <c r="L7" s="23"/>
      <c r="M7" s="24">
        <f>SUM(K9:K13)</f>
        <v>0</v>
      </c>
      <c r="N7" s="25">
        <f>M7/$I$7*$H$7</f>
        <v>0</v>
      </c>
      <c r="O7" s="26"/>
    </row>
    <row r="8" spans="1:15" ht="21" x14ac:dyDescent="0.25">
      <c r="B8" s="87"/>
      <c r="C8" s="84" t="s">
        <v>141</v>
      </c>
      <c r="D8" s="84"/>
      <c r="E8" s="84"/>
      <c r="F8" s="84"/>
      <c r="G8" s="84"/>
      <c r="H8" s="27"/>
      <c r="I8" s="13"/>
      <c r="J8" s="27"/>
      <c r="K8" s="13"/>
      <c r="L8" s="13"/>
      <c r="M8" s="24"/>
      <c r="N8" s="28"/>
      <c r="O8" s="26"/>
    </row>
    <row r="9" spans="1:15" ht="249.9" customHeight="1" x14ac:dyDescent="0.3">
      <c r="B9" s="87"/>
      <c r="C9" s="11" t="s">
        <v>3</v>
      </c>
      <c r="D9" s="79" t="s">
        <v>142</v>
      </c>
      <c r="E9" s="79"/>
      <c r="F9" s="79"/>
      <c r="G9" s="79"/>
      <c r="H9" s="11"/>
      <c r="I9" s="10">
        <v>4</v>
      </c>
      <c r="J9" s="11"/>
      <c r="K9" s="29"/>
      <c r="L9"/>
      <c r="M9" s="30"/>
      <c r="N9" s="31"/>
      <c r="O9" s="32"/>
    </row>
    <row r="10" spans="1:15" ht="249.9" customHeight="1" x14ac:dyDescent="0.3">
      <c r="B10" s="87"/>
      <c r="C10" s="11" t="s">
        <v>4</v>
      </c>
      <c r="D10" s="79" t="s">
        <v>5</v>
      </c>
      <c r="E10" s="79"/>
      <c r="F10" s="79"/>
      <c r="G10" s="79"/>
      <c r="H10" s="11"/>
      <c r="I10" s="10">
        <v>4</v>
      </c>
      <c r="J10" s="11"/>
      <c r="K10" s="29"/>
      <c r="L10"/>
      <c r="M10" s="30"/>
      <c r="N10" s="31"/>
      <c r="O10" s="33"/>
    </row>
    <row r="11" spans="1:15" ht="249.9" customHeight="1" x14ac:dyDescent="0.3">
      <c r="B11" s="87"/>
      <c r="C11" s="11" t="s">
        <v>10</v>
      </c>
      <c r="D11" s="79" t="s">
        <v>242</v>
      </c>
      <c r="E11" s="79"/>
      <c r="F11" s="79"/>
      <c r="G11" s="79"/>
      <c r="H11" s="11"/>
      <c r="I11" s="10">
        <v>3</v>
      </c>
      <c r="J11" s="11"/>
      <c r="K11" s="29"/>
      <c r="L11"/>
      <c r="M11" s="30"/>
      <c r="N11" s="34"/>
      <c r="O11" s="35"/>
    </row>
    <row r="12" spans="1:15" ht="249.9" customHeight="1" x14ac:dyDescent="0.3">
      <c r="B12" s="87"/>
      <c r="C12" s="11" t="s">
        <v>11</v>
      </c>
      <c r="D12" s="79" t="s">
        <v>6</v>
      </c>
      <c r="E12" s="79"/>
      <c r="F12" s="79"/>
      <c r="G12" s="79"/>
      <c r="H12" s="11"/>
      <c r="I12" s="10">
        <v>4</v>
      </c>
      <c r="J12" s="11"/>
      <c r="K12" s="29"/>
      <c r="L12"/>
      <c r="M12" s="30"/>
      <c r="N12" s="34"/>
      <c r="O12" s="35"/>
    </row>
    <row r="13" spans="1:15" ht="249.9" customHeight="1" x14ac:dyDescent="0.3">
      <c r="B13" s="87"/>
      <c r="C13" s="11" t="s">
        <v>12</v>
      </c>
      <c r="D13" s="79" t="s">
        <v>7</v>
      </c>
      <c r="E13" s="79"/>
      <c r="F13" s="79"/>
      <c r="G13" s="79"/>
      <c r="H13" s="11"/>
      <c r="I13" s="10">
        <v>4</v>
      </c>
      <c r="J13" s="11"/>
      <c r="K13" s="29"/>
      <c r="L13"/>
      <c r="M13" s="30"/>
      <c r="N13" s="34"/>
      <c r="O13" s="33"/>
    </row>
    <row r="14" spans="1:15" x14ac:dyDescent="0.4">
      <c r="B14" s="36"/>
      <c r="C14" s="37"/>
      <c r="D14" s="38"/>
      <c r="E14" s="39"/>
      <c r="F14" s="39"/>
      <c r="G14" s="39"/>
      <c r="H14" s="37"/>
      <c r="I14" s="40"/>
      <c r="J14" s="40"/>
      <c r="K14" s="40"/>
      <c r="L14"/>
      <c r="M14" s="40"/>
      <c r="N14" s="40"/>
      <c r="O14" s="35"/>
    </row>
    <row r="15" spans="1:15" ht="21" x14ac:dyDescent="0.3">
      <c r="B15" s="87" t="s">
        <v>8</v>
      </c>
      <c r="C15" s="81" t="s">
        <v>9</v>
      </c>
      <c r="D15" s="81"/>
      <c r="E15" s="81"/>
      <c r="F15" s="81"/>
      <c r="G15" s="81"/>
      <c r="H15" s="41">
        <v>0.15</v>
      </c>
      <c r="I15" s="42">
        <f>SUM(I16:I25)</f>
        <v>29</v>
      </c>
      <c r="J15" s="11"/>
      <c r="K15" s="10"/>
      <c r="L15"/>
      <c r="M15" s="30">
        <f>SUM(K16:K25)</f>
        <v>0</v>
      </c>
      <c r="N15" s="25">
        <f>M15/$I$15*$H$15</f>
        <v>0</v>
      </c>
      <c r="O15" s="35"/>
    </row>
    <row r="16" spans="1:15" ht="249.9" customHeight="1" x14ac:dyDescent="0.3">
      <c r="B16" s="87"/>
      <c r="C16" s="11" t="s">
        <v>13</v>
      </c>
      <c r="D16" s="79" t="s">
        <v>14</v>
      </c>
      <c r="E16" s="79"/>
      <c r="F16" s="79"/>
      <c r="G16" s="79"/>
      <c r="H16" s="11"/>
      <c r="I16" s="10">
        <v>4</v>
      </c>
      <c r="J16" s="11"/>
      <c r="K16" s="29"/>
      <c r="L16"/>
      <c r="M16" s="30"/>
      <c r="N16" s="43"/>
      <c r="O16" s="35"/>
    </row>
    <row r="17" spans="2:15" ht="21" x14ac:dyDescent="0.25">
      <c r="B17" s="87"/>
      <c r="C17" s="82" t="s">
        <v>15</v>
      </c>
      <c r="D17" s="86" t="s">
        <v>16</v>
      </c>
      <c r="E17" s="86"/>
      <c r="F17" s="86"/>
      <c r="G17" s="86"/>
      <c r="H17" s="44"/>
      <c r="I17" s="45">
        <f>SUM(J18:J22)</f>
        <v>15</v>
      </c>
      <c r="J17" s="46"/>
      <c r="K17" s="45">
        <f>SUM(L18:L22)</f>
        <v>0</v>
      </c>
      <c r="L17" s="47"/>
      <c r="M17" s="44"/>
      <c r="N17" s="44"/>
      <c r="O17" s="35"/>
    </row>
    <row r="18" spans="2:15" ht="249.9" customHeight="1" x14ac:dyDescent="0.3">
      <c r="B18" s="87"/>
      <c r="C18" s="82"/>
      <c r="D18" s="13" t="s">
        <v>17</v>
      </c>
      <c r="E18" s="79" t="s">
        <v>18</v>
      </c>
      <c r="F18" s="79"/>
      <c r="G18" s="79"/>
      <c r="H18" s="11"/>
      <c r="I18" s="10"/>
      <c r="J18" s="11">
        <v>4</v>
      </c>
      <c r="K18"/>
      <c r="L18" s="29"/>
      <c r="M18" s="30"/>
      <c r="N18" s="43"/>
      <c r="O18" s="35"/>
    </row>
    <row r="19" spans="2:15" ht="249.9" customHeight="1" x14ac:dyDescent="0.3">
      <c r="B19" s="87"/>
      <c r="C19" s="82"/>
      <c r="D19" s="13" t="s">
        <v>19</v>
      </c>
      <c r="E19" s="79" t="s">
        <v>20</v>
      </c>
      <c r="F19" s="79"/>
      <c r="G19" s="79"/>
      <c r="H19" s="11"/>
      <c r="I19" s="10"/>
      <c r="J19" s="48">
        <v>3</v>
      </c>
      <c r="K19"/>
      <c r="L19" s="29"/>
      <c r="M19" s="30"/>
      <c r="N19" s="30"/>
      <c r="O19" s="35"/>
    </row>
    <row r="20" spans="2:15" ht="249.9" customHeight="1" x14ac:dyDescent="0.3">
      <c r="B20" s="87"/>
      <c r="C20" s="82"/>
      <c r="D20" s="13" t="s">
        <v>23</v>
      </c>
      <c r="E20" s="79" t="s">
        <v>244</v>
      </c>
      <c r="F20" s="79"/>
      <c r="G20" s="79"/>
      <c r="H20" s="11"/>
      <c r="I20" s="10"/>
      <c r="J20" s="11">
        <v>2</v>
      </c>
      <c r="K20"/>
      <c r="L20" s="29"/>
      <c r="M20" s="30"/>
      <c r="N20" s="30"/>
      <c r="O20" s="35"/>
    </row>
    <row r="21" spans="2:15" ht="249.9" customHeight="1" x14ac:dyDescent="0.3">
      <c r="B21" s="87"/>
      <c r="C21" s="82"/>
      <c r="D21" s="13" t="s">
        <v>24</v>
      </c>
      <c r="E21" s="79" t="s">
        <v>245</v>
      </c>
      <c r="F21" s="79"/>
      <c r="G21" s="79"/>
      <c r="H21" s="11"/>
      <c r="I21" s="10"/>
      <c r="J21" s="11">
        <v>3</v>
      </c>
      <c r="K21"/>
      <c r="L21" s="29"/>
      <c r="M21" s="34"/>
      <c r="N21" s="30"/>
      <c r="O21" s="35"/>
    </row>
    <row r="22" spans="2:15" ht="249.9" customHeight="1" x14ac:dyDescent="0.3">
      <c r="B22" s="87"/>
      <c r="C22" s="82"/>
      <c r="D22" s="13" t="s">
        <v>25</v>
      </c>
      <c r="E22" s="79" t="s">
        <v>26</v>
      </c>
      <c r="F22" s="79"/>
      <c r="G22" s="79"/>
      <c r="H22" s="11"/>
      <c r="I22" s="10"/>
      <c r="J22" s="11">
        <v>3</v>
      </c>
      <c r="K22"/>
      <c r="L22" s="29"/>
      <c r="M22" s="49"/>
      <c r="N22" s="34"/>
      <c r="O22" s="35"/>
    </row>
    <row r="23" spans="2:15" ht="249.9" customHeight="1" x14ac:dyDescent="0.3">
      <c r="B23" s="87"/>
      <c r="C23" s="11" t="s">
        <v>27</v>
      </c>
      <c r="D23" s="79" t="s">
        <v>28</v>
      </c>
      <c r="E23" s="79"/>
      <c r="F23" s="79"/>
      <c r="G23" s="79"/>
      <c r="H23" s="12"/>
      <c r="I23" s="13">
        <v>3</v>
      </c>
      <c r="J23" s="12"/>
      <c r="K23" s="29"/>
      <c r="L23"/>
      <c r="M23" s="30"/>
      <c r="N23" s="30"/>
      <c r="O23" s="35"/>
    </row>
    <row r="24" spans="2:15" ht="249.9" customHeight="1" x14ac:dyDescent="0.4">
      <c r="B24" s="87"/>
      <c r="C24" s="11" t="s">
        <v>29</v>
      </c>
      <c r="D24" s="79" t="s">
        <v>30</v>
      </c>
      <c r="E24" s="79"/>
      <c r="F24" s="79"/>
      <c r="G24" s="79"/>
      <c r="H24" s="12"/>
      <c r="I24" s="13">
        <v>4</v>
      </c>
      <c r="J24" s="14"/>
      <c r="K24" s="29"/>
      <c r="L24"/>
      <c r="M24" s="50"/>
      <c r="N24" s="30"/>
      <c r="O24" s="35"/>
    </row>
    <row r="25" spans="2:15" ht="249.9" customHeight="1" x14ac:dyDescent="0.4">
      <c r="B25" s="87"/>
      <c r="C25" s="11" t="s">
        <v>31</v>
      </c>
      <c r="D25" s="79" t="s">
        <v>143</v>
      </c>
      <c r="E25" s="79"/>
      <c r="F25" s="79"/>
      <c r="G25" s="79"/>
      <c r="H25" s="12"/>
      <c r="I25" s="13">
        <v>3</v>
      </c>
      <c r="J25" s="14"/>
      <c r="K25" s="29"/>
      <c r="L25"/>
      <c r="M25" s="50"/>
      <c r="N25" s="30"/>
      <c r="O25" s="35"/>
    </row>
    <row r="26" spans="2:15" x14ac:dyDescent="0.3">
      <c r="B26" s="51"/>
      <c r="C26" s="40"/>
      <c r="D26" s="38"/>
      <c r="E26" s="52"/>
      <c r="F26" s="52"/>
      <c r="G26" s="52"/>
      <c r="H26" s="40"/>
      <c r="I26" s="40"/>
      <c r="J26" s="40"/>
      <c r="K26" s="26"/>
      <c r="L26"/>
      <c r="M26" s="40"/>
      <c r="N26" s="40"/>
      <c r="O26" s="35"/>
    </row>
    <row r="27" spans="2:15" x14ac:dyDescent="0.3">
      <c r="B27" s="53" t="s">
        <v>32</v>
      </c>
      <c r="C27" s="85" t="s">
        <v>33</v>
      </c>
      <c r="D27" s="85"/>
      <c r="E27" s="85"/>
      <c r="F27" s="85"/>
      <c r="G27" s="85"/>
      <c r="H27" s="41">
        <v>0.17</v>
      </c>
      <c r="I27" s="42">
        <f>SUM(I28:I50)</f>
        <v>62</v>
      </c>
      <c r="J27" s="11"/>
      <c r="K27" s="10"/>
      <c r="L27"/>
      <c r="M27" s="30">
        <f>SUM(K28:K50)</f>
        <v>0</v>
      </c>
      <c r="N27" s="25">
        <f>M27/$I$27*$H$27</f>
        <v>0</v>
      </c>
      <c r="O27" s="35"/>
    </row>
    <row r="28" spans="2:15" ht="249.9" customHeight="1" x14ac:dyDescent="0.3">
      <c r="B28" s="53"/>
      <c r="C28" s="10" t="s">
        <v>34</v>
      </c>
      <c r="D28" s="84" t="s">
        <v>144</v>
      </c>
      <c r="E28" s="84"/>
      <c r="F28" s="84"/>
      <c r="G28" s="84"/>
      <c r="H28" s="12"/>
      <c r="I28" s="13">
        <v>4</v>
      </c>
      <c r="J28" s="13"/>
      <c r="K28" s="29"/>
      <c r="L28"/>
      <c r="M28" s="50"/>
      <c r="N28" s="50"/>
      <c r="O28" s="35"/>
    </row>
    <row r="29" spans="2:15" x14ac:dyDescent="0.25">
      <c r="B29" s="54"/>
      <c r="C29" s="82" t="s">
        <v>35</v>
      </c>
      <c r="D29" s="83" t="s">
        <v>36</v>
      </c>
      <c r="E29" s="83"/>
      <c r="F29" s="83"/>
      <c r="G29" s="83"/>
      <c r="H29" s="12"/>
      <c r="I29" s="55">
        <f>SUM(J30:J32)</f>
        <v>0</v>
      </c>
      <c r="J29" s="13"/>
      <c r="K29" s="55">
        <f>SUM(L30:L32)</f>
        <v>0</v>
      </c>
      <c r="L29" s="13"/>
      <c r="M29" s="56"/>
      <c r="N29" s="57"/>
      <c r="O29" s="35"/>
    </row>
    <row r="30" spans="2:15" x14ac:dyDescent="0.25">
      <c r="B30" s="54"/>
      <c r="C30" s="82"/>
      <c r="D30" s="48" t="s">
        <v>37</v>
      </c>
      <c r="E30" s="83" t="s">
        <v>38</v>
      </c>
      <c r="F30" s="83"/>
      <c r="G30" s="83"/>
      <c r="H30" s="12"/>
      <c r="I30" s="13"/>
      <c r="J30" s="12" t="s">
        <v>248</v>
      </c>
      <c r="K30" s="13"/>
      <c r="L30" s="58" t="s">
        <v>248</v>
      </c>
      <c r="M30" s="50"/>
      <c r="N30" s="50"/>
      <c r="O30" s="35"/>
    </row>
    <row r="31" spans="2:15" x14ac:dyDescent="0.25">
      <c r="B31" s="54"/>
      <c r="C31" s="82"/>
      <c r="D31" s="48" t="s">
        <v>39</v>
      </c>
      <c r="E31" s="83" t="s">
        <v>40</v>
      </c>
      <c r="F31" s="83"/>
      <c r="G31" s="83"/>
      <c r="H31" s="12"/>
      <c r="I31" s="13"/>
      <c r="J31" s="12" t="s">
        <v>248</v>
      </c>
      <c r="K31" s="13"/>
      <c r="L31" s="58" t="s">
        <v>248</v>
      </c>
      <c r="M31" s="50"/>
      <c r="N31" s="50"/>
      <c r="O31" s="35"/>
    </row>
    <row r="32" spans="2:15" x14ac:dyDescent="0.25">
      <c r="B32" s="54"/>
      <c r="C32" s="82"/>
      <c r="D32" s="48" t="s">
        <v>41</v>
      </c>
      <c r="E32" s="83" t="s">
        <v>42</v>
      </c>
      <c r="F32" s="83"/>
      <c r="G32" s="83"/>
      <c r="H32" s="12"/>
      <c r="I32" s="13"/>
      <c r="J32" s="12" t="s">
        <v>248</v>
      </c>
      <c r="K32" s="13"/>
      <c r="L32" s="58" t="s">
        <v>248</v>
      </c>
      <c r="M32" s="50"/>
      <c r="N32" s="50"/>
      <c r="O32" s="35"/>
    </row>
    <row r="33" spans="1:15" ht="249.9" customHeight="1" x14ac:dyDescent="0.3">
      <c r="B33" s="54"/>
      <c r="C33" s="11" t="s">
        <v>43</v>
      </c>
      <c r="D33" s="79" t="s">
        <v>145</v>
      </c>
      <c r="E33" s="79"/>
      <c r="F33" s="79"/>
      <c r="G33" s="79"/>
      <c r="H33" s="11"/>
      <c r="I33" s="13">
        <v>2</v>
      </c>
      <c r="J33" s="13"/>
      <c r="K33" s="29"/>
      <c r="L33"/>
      <c r="M33" s="50"/>
      <c r="N33" s="50"/>
      <c r="O33" s="35"/>
    </row>
    <row r="34" spans="1:15" ht="249.9" customHeight="1" x14ac:dyDescent="0.3">
      <c r="B34" s="54"/>
      <c r="C34" s="11" t="s">
        <v>44</v>
      </c>
      <c r="D34" s="79" t="s">
        <v>146</v>
      </c>
      <c r="E34" s="79"/>
      <c r="F34" s="79"/>
      <c r="G34" s="79"/>
      <c r="H34" s="12"/>
      <c r="I34" s="13">
        <v>4</v>
      </c>
      <c r="J34" s="13"/>
      <c r="K34" s="29"/>
      <c r="L34"/>
      <c r="M34" s="50"/>
      <c r="N34" s="50"/>
      <c r="O34" s="35"/>
    </row>
    <row r="35" spans="1:15" ht="249.9" customHeight="1" x14ac:dyDescent="0.3">
      <c r="B35" s="54"/>
      <c r="C35" s="11" t="s">
        <v>45</v>
      </c>
      <c r="D35" s="79" t="s">
        <v>46</v>
      </c>
      <c r="E35" s="79"/>
      <c r="F35" s="79"/>
      <c r="G35" s="79"/>
      <c r="H35" s="13"/>
      <c r="I35" s="13">
        <v>4</v>
      </c>
      <c r="J35" s="13"/>
      <c r="K35" s="29"/>
      <c r="L35"/>
      <c r="M35" s="50"/>
      <c r="N35" s="50"/>
      <c r="O35" s="35"/>
    </row>
    <row r="36" spans="1:15" ht="249.9" customHeight="1" x14ac:dyDescent="0.3">
      <c r="B36" s="54"/>
      <c r="C36" s="11" t="s">
        <v>47</v>
      </c>
      <c r="D36" s="79" t="s">
        <v>48</v>
      </c>
      <c r="E36" s="79"/>
      <c r="F36" s="79"/>
      <c r="G36" s="79"/>
      <c r="H36" s="12"/>
      <c r="I36" s="13">
        <v>4</v>
      </c>
      <c r="J36" s="13"/>
      <c r="K36" s="29"/>
      <c r="L36"/>
      <c r="M36" s="50"/>
      <c r="N36" s="50"/>
      <c r="O36" s="35"/>
    </row>
    <row r="37" spans="1:15" ht="249.9" customHeight="1" x14ac:dyDescent="0.3">
      <c r="B37" s="54"/>
      <c r="C37" s="11" t="s">
        <v>49</v>
      </c>
      <c r="D37" s="79" t="s">
        <v>50</v>
      </c>
      <c r="E37" s="79"/>
      <c r="F37" s="79"/>
      <c r="G37" s="79"/>
      <c r="H37" s="12"/>
      <c r="I37" s="13">
        <v>4</v>
      </c>
      <c r="J37" s="13"/>
      <c r="K37" s="29"/>
      <c r="L37"/>
      <c r="M37" s="50"/>
      <c r="N37" s="50"/>
      <c r="O37" s="35"/>
    </row>
    <row r="38" spans="1:15" ht="249.9" customHeight="1" x14ac:dyDescent="0.3">
      <c r="B38" s="54"/>
      <c r="C38" s="11" t="s">
        <v>51</v>
      </c>
      <c r="D38" s="79" t="s">
        <v>52</v>
      </c>
      <c r="E38" s="79"/>
      <c r="F38" s="79"/>
      <c r="G38" s="79"/>
      <c r="H38" s="12"/>
      <c r="I38" s="13">
        <v>4</v>
      </c>
      <c r="J38" s="13"/>
      <c r="K38" s="29"/>
      <c r="L38"/>
      <c r="M38" s="50"/>
      <c r="N38" s="50"/>
      <c r="O38" s="35"/>
    </row>
    <row r="39" spans="1:15" ht="249.9" customHeight="1" x14ac:dyDescent="0.3">
      <c r="B39" s="54"/>
      <c r="C39" s="11" t="s">
        <v>53</v>
      </c>
      <c r="D39" s="84" t="s">
        <v>54</v>
      </c>
      <c r="E39" s="84"/>
      <c r="F39" s="84"/>
      <c r="G39" s="84"/>
      <c r="H39" s="13"/>
      <c r="I39" s="13">
        <v>4</v>
      </c>
      <c r="J39" s="13"/>
      <c r="K39" s="29"/>
      <c r="L39"/>
      <c r="M39" s="50"/>
      <c r="N39" s="50"/>
      <c r="O39" s="35"/>
    </row>
    <row r="40" spans="1:15" s="5" customFormat="1" x14ac:dyDescent="0.3">
      <c r="A40" s="96"/>
      <c r="B40" s="54"/>
      <c r="C40" s="10" t="s">
        <v>55</v>
      </c>
      <c r="D40" s="84" t="s">
        <v>56</v>
      </c>
      <c r="E40" s="84"/>
      <c r="F40" s="84"/>
      <c r="G40" s="84"/>
      <c r="H40" s="13"/>
      <c r="I40" s="55">
        <f>SUM(J41:J42)</f>
        <v>8</v>
      </c>
      <c r="J40" s="13"/>
      <c r="K40" s="55">
        <f>SUM(L41:L42)</f>
        <v>0</v>
      </c>
      <c r="L40" s="13"/>
      <c r="M40" s="50"/>
      <c r="N40" s="50"/>
      <c r="O40" s="35"/>
    </row>
    <row r="41" spans="1:15" ht="249.9" customHeight="1" x14ac:dyDescent="0.3">
      <c r="B41" s="54"/>
      <c r="C41" s="59"/>
      <c r="D41" s="12" t="s">
        <v>57</v>
      </c>
      <c r="E41" s="79" t="s">
        <v>58</v>
      </c>
      <c r="F41" s="79"/>
      <c r="G41" s="79"/>
      <c r="H41" s="12"/>
      <c r="I41" s="13"/>
      <c r="J41" s="12">
        <v>4</v>
      </c>
      <c r="K41"/>
      <c r="L41" s="29"/>
      <c r="M41" s="56"/>
      <c r="N41" s="56"/>
      <c r="O41" s="35"/>
    </row>
    <row r="42" spans="1:15" ht="249.9" customHeight="1" x14ac:dyDescent="0.3">
      <c r="B42" s="54"/>
      <c r="C42" s="59"/>
      <c r="D42" s="12" t="s">
        <v>59</v>
      </c>
      <c r="E42" s="79" t="s">
        <v>60</v>
      </c>
      <c r="F42" s="79"/>
      <c r="G42" s="79"/>
      <c r="H42" s="11"/>
      <c r="I42" s="10"/>
      <c r="J42" s="12">
        <v>4</v>
      </c>
      <c r="K42"/>
      <c r="L42" s="29"/>
      <c r="M42" s="30"/>
      <c r="N42" s="30"/>
      <c r="O42" s="35"/>
    </row>
    <row r="43" spans="1:15" ht="249.9" customHeight="1" x14ac:dyDescent="0.3">
      <c r="B43" s="54"/>
      <c r="C43" s="11" t="s">
        <v>61</v>
      </c>
      <c r="D43" s="79" t="s">
        <v>62</v>
      </c>
      <c r="E43" s="79"/>
      <c r="F43" s="79"/>
      <c r="G43" s="79"/>
      <c r="H43" s="12"/>
      <c r="I43" s="13">
        <v>4</v>
      </c>
      <c r="J43" s="13"/>
      <c r="K43" s="29"/>
      <c r="L43"/>
      <c r="M43" s="50"/>
      <c r="N43" s="50"/>
      <c r="O43" s="35"/>
    </row>
    <row r="44" spans="1:15" x14ac:dyDescent="0.25">
      <c r="B44" s="54"/>
      <c r="C44" s="11" t="s">
        <v>63</v>
      </c>
      <c r="D44" s="79" t="s">
        <v>64</v>
      </c>
      <c r="E44" s="79"/>
      <c r="F44" s="79"/>
      <c r="G44" s="79"/>
      <c r="H44" s="12"/>
      <c r="I44" s="55">
        <f>SUM(J45:J49)</f>
        <v>16</v>
      </c>
      <c r="J44" s="13"/>
      <c r="K44" s="55">
        <f>SUM(L45:L49)</f>
        <v>0</v>
      </c>
      <c r="L44" s="13"/>
      <c r="M44" s="50"/>
      <c r="N44" s="50"/>
      <c r="O44" s="35"/>
    </row>
    <row r="45" spans="1:15" ht="249.9" customHeight="1" x14ac:dyDescent="0.3">
      <c r="B45" s="54"/>
      <c r="C45" s="11"/>
      <c r="D45" s="60" t="s">
        <v>65</v>
      </c>
      <c r="E45" s="83" t="s">
        <v>66</v>
      </c>
      <c r="F45" s="83"/>
      <c r="G45" s="83"/>
      <c r="H45" s="12"/>
      <c r="I45" s="13"/>
      <c r="J45" s="12">
        <v>4</v>
      </c>
      <c r="K45"/>
      <c r="L45" s="29"/>
      <c r="M45" s="56"/>
      <c r="N45" s="56"/>
      <c r="O45" s="35"/>
    </row>
    <row r="46" spans="1:15" ht="249.9" customHeight="1" x14ac:dyDescent="0.3">
      <c r="B46" s="54"/>
      <c r="C46" s="11"/>
      <c r="D46" s="12" t="s">
        <v>67</v>
      </c>
      <c r="E46" s="79" t="s">
        <v>68</v>
      </c>
      <c r="F46" s="79"/>
      <c r="G46" s="79"/>
      <c r="H46" s="12"/>
      <c r="I46" s="13"/>
      <c r="J46" s="12">
        <v>3</v>
      </c>
      <c r="K46"/>
      <c r="L46" s="29"/>
      <c r="M46" s="56"/>
      <c r="N46" s="56"/>
      <c r="O46" s="35"/>
    </row>
    <row r="47" spans="1:15" ht="249.9" customHeight="1" x14ac:dyDescent="0.3">
      <c r="B47" s="54"/>
      <c r="C47" s="11"/>
      <c r="D47" s="12" t="s">
        <v>69</v>
      </c>
      <c r="E47" s="79" t="s">
        <v>70</v>
      </c>
      <c r="F47" s="79"/>
      <c r="G47" s="79"/>
      <c r="H47" s="12"/>
      <c r="I47" s="13"/>
      <c r="J47" s="12">
        <v>3</v>
      </c>
      <c r="K47"/>
      <c r="L47" s="29"/>
      <c r="M47" s="56"/>
      <c r="N47" s="56"/>
      <c r="O47" s="35"/>
    </row>
    <row r="48" spans="1:15" ht="249.9" customHeight="1" x14ac:dyDescent="0.3">
      <c r="B48" s="54"/>
      <c r="C48" s="11"/>
      <c r="D48" s="12" t="s">
        <v>168</v>
      </c>
      <c r="E48" s="79" t="s">
        <v>167</v>
      </c>
      <c r="F48" s="79"/>
      <c r="G48" s="79"/>
      <c r="H48" s="12"/>
      <c r="I48" s="13"/>
      <c r="J48" s="13">
        <v>3</v>
      </c>
      <c r="K48"/>
      <c r="L48" s="29"/>
      <c r="M48" s="56"/>
      <c r="N48" s="56"/>
      <c r="O48" s="35"/>
    </row>
    <row r="49" spans="2:15" ht="249.9" customHeight="1" x14ac:dyDescent="0.3">
      <c r="B49" s="54"/>
      <c r="C49" s="11"/>
      <c r="D49" s="12" t="s">
        <v>238</v>
      </c>
      <c r="E49" s="79" t="s">
        <v>239</v>
      </c>
      <c r="F49" s="79"/>
      <c r="G49" s="79"/>
      <c r="H49" s="12"/>
      <c r="I49" s="13"/>
      <c r="J49" s="13">
        <v>3</v>
      </c>
      <c r="K49"/>
      <c r="L49" s="29"/>
      <c r="M49" s="56"/>
      <c r="N49" s="56"/>
      <c r="O49" s="35"/>
    </row>
    <row r="50" spans="2:15" ht="249.9" customHeight="1" x14ac:dyDescent="0.3">
      <c r="B50" s="54"/>
      <c r="C50" s="11" t="s">
        <v>71</v>
      </c>
      <c r="D50" s="79" t="s">
        <v>147</v>
      </c>
      <c r="E50" s="79"/>
      <c r="F50" s="79"/>
      <c r="G50" s="79"/>
      <c r="H50" s="12"/>
      <c r="I50" s="13">
        <v>4</v>
      </c>
      <c r="J50" s="13"/>
      <c r="K50" s="29"/>
      <c r="L50"/>
      <c r="M50" s="50"/>
      <c r="N50" s="50"/>
      <c r="O50" s="35"/>
    </row>
    <row r="51" spans="2:15" x14ac:dyDescent="0.4">
      <c r="B51" s="36"/>
      <c r="C51" s="37"/>
      <c r="D51" s="38"/>
      <c r="E51" s="39"/>
      <c r="F51" s="39"/>
      <c r="G51" s="39"/>
      <c r="H51" s="37"/>
      <c r="I51" s="40"/>
      <c r="J51" s="40"/>
      <c r="K51" s="26"/>
      <c r="L51" s="26"/>
      <c r="M51" s="40"/>
      <c r="N51" s="40"/>
      <c r="O51" s="35"/>
    </row>
    <row r="52" spans="2:15" x14ac:dyDescent="0.25">
      <c r="B52" s="61" t="s">
        <v>72</v>
      </c>
      <c r="C52" s="79" t="s">
        <v>73</v>
      </c>
      <c r="D52" s="79"/>
      <c r="E52" s="79"/>
      <c r="F52" s="79"/>
      <c r="G52" s="79"/>
      <c r="H52" s="62">
        <v>0.35</v>
      </c>
      <c r="I52" s="55">
        <f>SUM(I53:I100)</f>
        <v>138</v>
      </c>
      <c r="J52" s="12"/>
      <c r="K52" s="13"/>
      <c r="L52" s="13"/>
      <c r="M52" s="56">
        <f>SUM(K53:K100)</f>
        <v>0</v>
      </c>
      <c r="N52" s="25">
        <f>M52/$I$52*$H$52</f>
        <v>0</v>
      </c>
      <c r="O52" s="35"/>
    </row>
    <row r="53" spans="2:15" x14ac:dyDescent="0.25">
      <c r="B53" s="61"/>
      <c r="C53" s="11" t="s">
        <v>74</v>
      </c>
      <c r="D53" s="79" t="s">
        <v>75</v>
      </c>
      <c r="E53" s="79"/>
      <c r="F53" s="79"/>
      <c r="G53" s="79"/>
      <c r="H53" s="12"/>
      <c r="I53" s="55">
        <f>SUM(J54:J56)</f>
        <v>11</v>
      </c>
      <c r="J53" s="13"/>
      <c r="K53" s="55">
        <f>SUM(L54:L56)</f>
        <v>0</v>
      </c>
      <c r="L53" s="13"/>
      <c r="M53" s="56"/>
      <c r="N53" s="50"/>
      <c r="O53" s="35"/>
    </row>
    <row r="54" spans="2:15" ht="249.9" customHeight="1" x14ac:dyDescent="0.3">
      <c r="B54" s="61"/>
      <c r="C54" s="59"/>
      <c r="D54" s="12" t="s">
        <v>76</v>
      </c>
      <c r="E54" s="79" t="s">
        <v>169</v>
      </c>
      <c r="F54" s="79"/>
      <c r="G54" s="79"/>
      <c r="H54" s="12"/>
      <c r="I54" s="13"/>
      <c r="J54" s="12">
        <v>4</v>
      </c>
      <c r="K54"/>
      <c r="L54" s="29"/>
      <c r="M54" s="56"/>
      <c r="N54" s="56"/>
      <c r="O54" s="35"/>
    </row>
    <row r="55" spans="2:15" ht="249.9" customHeight="1" x14ac:dyDescent="0.3">
      <c r="B55" s="61"/>
      <c r="C55" s="59"/>
      <c r="D55" s="12" t="s">
        <v>77</v>
      </c>
      <c r="E55" s="79" t="s">
        <v>170</v>
      </c>
      <c r="F55" s="79"/>
      <c r="G55" s="79"/>
      <c r="H55" s="12"/>
      <c r="I55" s="13"/>
      <c r="J55" s="12">
        <v>3</v>
      </c>
      <c r="K55"/>
      <c r="L55" s="29"/>
      <c r="M55" s="56"/>
      <c r="N55" s="56"/>
      <c r="O55" s="35"/>
    </row>
    <row r="56" spans="2:15" ht="249.9" customHeight="1" x14ac:dyDescent="0.3">
      <c r="B56" s="61"/>
      <c r="C56" s="59"/>
      <c r="D56" s="12" t="s">
        <v>78</v>
      </c>
      <c r="E56" s="79" t="s">
        <v>171</v>
      </c>
      <c r="F56" s="79"/>
      <c r="G56" s="79"/>
      <c r="H56" s="12"/>
      <c r="I56" s="13"/>
      <c r="J56" s="12">
        <v>4</v>
      </c>
      <c r="K56"/>
      <c r="L56" s="29"/>
      <c r="M56" s="56"/>
      <c r="N56" s="56"/>
      <c r="O56" s="35"/>
    </row>
    <row r="57" spans="2:15" x14ac:dyDescent="0.25">
      <c r="B57" s="61"/>
      <c r="C57" s="11" t="s">
        <v>79</v>
      </c>
      <c r="D57" s="79" t="s">
        <v>80</v>
      </c>
      <c r="E57" s="79"/>
      <c r="F57" s="79"/>
      <c r="G57" s="79"/>
      <c r="H57" s="12"/>
      <c r="I57" s="55">
        <f>SUM(J58:J67)</f>
        <v>40</v>
      </c>
      <c r="J57" s="13"/>
      <c r="K57" s="55">
        <f>SUM(L58:L67)</f>
        <v>0</v>
      </c>
      <c r="L57" s="13"/>
      <c r="M57" s="56"/>
      <c r="N57" s="50"/>
      <c r="O57" s="35"/>
    </row>
    <row r="58" spans="2:15" ht="249.9" customHeight="1" x14ac:dyDescent="0.3">
      <c r="B58" s="61"/>
      <c r="C58" s="59"/>
      <c r="D58" s="12" t="s">
        <v>172</v>
      </c>
      <c r="E58" s="79" t="s">
        <v>173</v>
      </c>
      <c r="F58" s="79"/>
      <c r="G58" s="79"/>
      <c r="H58" s="27"/>
      <c r="I58" s="27"/>
      <c r="J58" s="13">
        <v>4</v>
      </c>
      <c r="K58"/>
      <c r="L58" s="29"/>
      <c r="M58" s="28"/>
      <c r="N58" s="28"/>
      <c r="O58" s="33"/>
    </row>
    <row r="59" spans="2:15" ht="249.9" customHeight="1" x14ac:dyDescent="0.3">
      <c r="B59" s="61"/>
      <c r="C59" s="59"/>
      <c r="D59" s="12" t="s">
        <v>174</v>
      </c>
      <c r="E59" s="79" t="s">
        <v>175</v>
      </c>
      <c r="F59" s="79"/>
      <c r="G59" s="79"/>
      <c r="H59" s="27"/>
      <c r="I59" s="27"/>
      <c r="J59" s="13">
        <v>4</v>
      </c>
      <c r="K59"/>
      <c r="L59" s="29"/>
      <c r="M59" s="28"/>
      <c r="N59" s="28"/>
      <c r="O59" s="33"/>
    </row>
    <row r="60" spans="2:15" ht="249.9" customHeight="1" x14ac:dyDescent="0.3">
      <c r="B60" s="61"/>
      <c r="C60" s="59"/>
      <c r="D60" s="12" t="s">
        <v>176</v>
      </c>
      <c r="E60" s="79" t="s">
        <v>184</v>
      </c>
      <c r="F60" s="79"/>
      <c r="G60" s="79"/>
      <c r="H60" s="27"/>
      <c r="I60" s="27"/>
      <c r="J60" s="13">
        <v>4</v>
      </c>
      <c r="K60"/>
      <c r="L60" s="29"/>
      <c r="M60" s="28"/>
      <c r="N60" s="28"/>
      <c r="O60" s="33"/>
    </row>
    <row r="61" spans="2:15" ht="249.9" customHeight="1" x14ac:dyDescent="0.3">
      <c r="B61" s="61"/>
      <c r="C61" s="59"/>
      <c r="D61" s="12" t="s">
        <v>177</v>
      </c>
      <c r="E61" s="79" t="s">
        <v>185</v>
      </c>
      <c r="F61" s="79"/>
      <c r="G61" s="79"/>
      <c r="H61" s="27"/>
      <c r="I61" s="27"/>
      <c r="J61" s="13">
        <v>4</v>
      </c>
      <c r="K61"/>
      <c r="L61" s="29"/>
      <c r="M61" s="28"/>
      <c r="N61" s="28"/>
      <c r="O61" s="33"/>
    </row>
    <row r="62" spans="2:15" ht="249.9" customHeight="1" x14ac:dyDescent="0.3">
      <c r="B62" s="61"/>
      <c r="C62" s="59"/>
      <c r="D62" s="12" t="s">
        <v>178</v>
      </c>
      <c r="E62" s="79" t="s">
        <v>186</v>
      </c>
      <c r="F62" s="79"/>
      <c r="G62" s="79"/>
      <c r="H62" s="27"/>
      <c r="I62" s="27"/>
      <c r="J62" s="13">
        <v>4</v>
      </c>
      <c r="K62"/>
      <c r="L62" s="29"/>
      <c r="M62" s="28"/>
      <c r="N62" s="28"/>
      <c r="O62" s="33"/>
    </row>
    <row r="63" spans="2:15" ht="249.9" customHeight="1" x14ac:dyDescent="0.3">
      <c r="B63" s="61"/>
      <c r="C63" s="59"/>
      <c r="D63" s="12" t="s">
        <v>179</v>
      </c>
      <c r="E63" s="79" t="s">
        <v>187</v>
      </c>
      <c r="F63" s="79"/>
      <c r="G63" s="79"/>
      <c r="H63" s="27"/>
      <c r="I63" s="27"/>
      <c r="J63" s="13">
        <v>4</v>
      </c>
      <c r="K63"/>
      <c r="L63" s="29"/>
      <c r="M63" s="28"/>
      <c r="N63" s="28"/>
      <c r="O63" s="33"/>
    </row>
    <row r="64" spans="2:15" ht="249.9" customHeight="1" x14ac:dyDescent="0.3">
      <c r="B64" s="61"/>
      <c r="C64" s="59"/>
      <c r="D64" s="12" t="s">
        <v>180</v>
      </c>
      <c r="E64" s="79" t="s">
        <v>188</v>
      </c>
      <c r="F64" s="79"/>
      <c r="G64" s="79"/>
      <c r="H64" s="27"/>
      <c r="I64" s="27"/>
      <c r="J64" s="13">
        <v>4</v>
      </c>
      <c r="K64"/>
      <c r="L64" s="29"/>
      <c r="M64" s="28"/>
      <c r="N64" s="28"/>
      <c r="O64" s="33"/>
    </row>
    <row r="65" spans="2:15" ht="249.9" customHeight="1" x14ac:dyDescent="0.3">
      <c r="B65" s="61"/>
      <c r="C65" s="59"/>
      <c r="D65" s="12" t="s">
        <v>181</v>
      </c>
      <c r="E65" s="79" t="s">
        <v>189</v>
      </c>
      <c r="F65" s="79"/>
      <c r="G65" s="79"/>
      <c r="H65" s="27"/>
      <c r="I65" s="27"/>
      <c r="J65" s="13">
        <v>4</v>
      </c>
      <c r="K65"/>
      <c r="L65" s="29"/>
      <c r="M65" s="28"/>
      <c r="N65" s="28"/>
      <c r="O65" s="33"/>
    </row>
    <row r="66" spans="2:15" ht="249.9" customHeight="1" x14ac:dyDescent="0.3">
      <c r="B66" s="61"/>
      <c r="C66" s="59"/>
      <c r="D66" s="12" t="s">
        <v>182</v>
      </c>
      <c r="E66" s="79" t="s">
        <v>190</v>
      </c>
      <c r="F66" s="79"/>
      <c r="G66" s="79"/>
      <c r="H66" s="27"/>
      <c r="I66" s="27"/>
      <c r="J66" s="13">
        <v>4</v>
      </c>
      <c r="K66"/>
      <c r="L66" s="29"/>
      <c r="M66" s="28"/>
      <c r="N66" s="28"/>
      <c r="O66" s="33"/>
    </row>
    <row r="67" spans="2:15" ht="249.9" customHeight="1" x14ac:dyDescent="0.3">
      <c r="B67" s="61"/>
      <c r="C67" s="59"/>
      <c r="D67" s="12" t="s">
        <v>183</v>
      </c>
      <c r="E67" s="79" t="s">
        <v>191</v>
      </c>
      <c r="F67" s="79"/>
      <c r="G67" s="79"/>
      <c r="H67" s="27"/>
      <c r="I67" s="27"/>
      <c r="J67" s="13">
        <v>4</v>
      </c>
      <c r="K67"/>
      <c r="L67" s="29"/>
      <c r="M67" s="28"/>
      <c r="N67" s="28"/>
      <c r="O67" s="33"/>
    </row>
    <row r="68" spans="2:15" x14ac:dyDescent="0.25">
      <c r="B68" s="61"/>
      <c r="C68" s="11" t="s">
        <v>81</v>
      </c>
      <c r="D68" s="79" t="s">
        <v>148</v>
      </c>
      <c r="E68" s="79"/>
      <c r="F68" s="79"/>
      <c r="G68" s="79"/>
      <c r="H68" s="12"/>
      <c r="I68" s="55">
        <f>SUM(J69:J78)</f>
        <v>28</v>
      </c>
      <c r="J68" s="13"/>
      <c r="K68" s="55">
        <f>SUM(L69:L78)</f>
        <v>0</v>
      </c>
      <c r="L68" s="13"/>
      <c r="M68" s="56"/>
      <c r="N68" s="50"/>
      <c r="O68" s="35"/>
    </row>
    <row r="69" spans="2:15" ht="249.9" customHeight="1" x14ac:dyDescent="0.3">
      <c r="B69" s="61"/>
      <c r="C69" s="11"/>
      <c r="D69" s="12" t="s">
        <v>192</v>
      </c>
      <c r="E69" s="79" t="s">
        <v>194</v>
      </c>
      <c r="F69" s="79"/>
      <c r="G69" s="79"/>
      <c r="H69" s="12"/>
      <c r="I69" s="13"/>
      <c r="J69" s="13">
        <v>4</v>
      </c>
      <c r="K69"/>
      <c r="L69" s="29"/>
      <c r="M69" s="56"/>
      <c r="N69" s="50"/>
      <c r="O69" s="35"/>
    </row>
    <row r="70" spans="2:15" ht="249.9" customHeight="1" x14ac:dyDescent="0.3">
      <c r="B70" s="61"/>
      <c r="C70" s="11"/>
      <c r="D70" s="12" t="s">
        <v>193</v>
      </c>
      <c r="E70" s="79" t="s">
        <v>195</v>
      </c>
      <c r="F70" s="79"/>
      <c r="G70" s="79"/>
      <c r="H70" s="12"/>
      <c r="I70" s="13"/>
      <c r="J70" s="13">
        <v>2</v>
      </c>
      <c r="K70"/>
      <c r="L70" s="29"/>
      <c r="M70" s="56"/>
      <c r="N70" s="50"/>
      <c r="O70" s="35"/>
    </row>
    <row r="71" spans="2:15" ht="249.9" customHeight="1" x14ac:dyDescent="0.3">
      <c r="B71" s="61"/>
      <c r="C71" s="11"/>
      <c r="D71" s="12" t="s">
        <v>204</v>
      </c>
      <c r="E71" s="79" t="s">
        <v>196</v>
      </c>
      <c r="F71" s="79"/>
      <c r="G71" s="79"/>
      <c r="H71" s="12"/>
      <c r="I71" s="13"/>
      <c r="J71" s="13">
        <v>2</v>
      </c>
      <c r="K71"/>
      <c r="L71" s="29"/>
      <c r="M71" s="56"/>
      <c r="N71" s="50"/>
      <c r="O71" s="35"/>
    </row>
    <row r="72" spans="2:15" ht="249.9" customHeight="1" x14ac:dyDescent="0.3">
      <c r="B72" s="61"/>
      <c r="C72" s="11"/>
      <c r="D72" s="12" t="s">
        <v>205</v>
      </c>
      <c r="E72" s="79" t="s">
        <v>197</v>
      </c>
      <c r="F72" s="79"/>
      <c r="G72" s="79"/>
      <c r="H72" s="12"/>
      <c r="I72" s="13"/>
      <c r="J72" s="13">
        <v>3</v>
      </c>
      <c r="K72"/>
      <c r="L72" s="29"/>
      <c r="M72" s="56"/>
      <c r="N72" s="50"/>
      <c r="O72" s="35"/>
    </row>
    <row r="73" spans="2:15" ht="249.9" customHeight="1" x14ac:dyDescent="0.3">
      <c r="B73" s="61"/>
      <c r="C73" s="11"/>
      <c r="D73" s="12" t="s">
        <v>206</v>
      </c>
      <c r="E73" s="79" t="s">
        <v>198</v>
      </c>
      <c r="F73" s="79"/>
      <c r="G73" s="79"/>
      <c r="H73" s="12"/>
      <c r="I73" s="13"/>
      <c r="J73" s="13">
        <v>2</v>
      </c>
      <c r="K73"/>
      <c r="L73" s="29"/>
      <c r="M73" s="56"/>
      <c r="N73" s="50"/>
      <c r="O73" s="35"/>
    </row>
    <row r="74" spans="2:15" ht="249.9" customHeight="1" x14ac:dyDescent="0.3">
      <c r="B74" s="61"/>
      <c r="C74" s="11"/>
      <c r="D74" s="12" t="s">
        <v>207</v>
      </c>
      <c r="E74" s="79" t="s">
        <v>199</v>
      </c>
      <c r="F74" s="79"/>
      <c r="G74" s="79"/>
      <c r="H74" s="12"/>
      <c r="I74" s="13"/>
      <c r="J74" s="13">
        <v>4</v>
      </c>
      <c r="K74"/>
      <c r="L74" s="29"/>
      <c r="M74" s="56"/>
      <c r="N74" s="50"/>
      <c r="O74" s="35"/>
    </row>
    <row r="75" spans="2:15" ht="249.9" customHeight="1" x14ac:dyDescent="0.3">
      <c r="B75" s="61"/>
      <c r="C75" s="11"/>
      <c r="D75" s="12" t="s">
        <v>208</v>
      </c>
      <c r="E75" s="79" t="s">
        <v>200</v>
      </c>
      <c r="F75" s="79"/>
      <c r="G75" s="79"/>
      <c r="H75" s="63"/>
      <c r="I75" s="63"/>
      <c r="J75" s="10">
        <v>2</v>
      </c>
      <c r="K75"/>
      <c r="L75" s="29"/>
      <c r="M75" s="64"/>
      <c r="N75" s="64"/>
      <c r="O75" s="35"/>
    </row>
    <row r="76" spans="2:15" ht="249.9" customHeight="1" x14ac:dyDescent="0.3">
      <c r="B76" s="61"/>
      <c r="C76" s="11"/>
      <c r="D76" s="12" t="s">
        <v>209</v>
      </c>
      <c r="E76" s="79" t="s">
        <v>201</v>
      </c>
      <c r="F76" s="79"/>
      <c r="G76" s="79"/>
      <c r="H76" s="63"/>
      <c r="I76" s="63"/>
      <c r="J76" s="10">
        <v>3</v>
      </c>
      <c r="K76"/>
      <c r="L76" s="29"/>
      <c r="M76" s="64"/>
      <c r="N76" s="64"/>
      <c r="O76" s="33"/>
    </row>
    <row r="77" spans="2:15" ht="249.9" customHeight="1" x14ac:dyDescent="0.3">
      <c r="B77" s="61"/>
      <c r="C77" s="11"/>
      <c r="D77" s="12" t="s">
        <v>210</v>
      </c>
      <c r="E77" s="79" t="s">
        <v>202</v>
      </c>
      <c r="F77" s="79"/>
      <c r="G77" s="79"/>
      <c r="H77" s="63"/>
      <c r="I77" s="63"/>
      <c r="J77" s="10">
        <v>2</v>
      </c>
      <c r="K77"/>
      <c r="L77" s="29"/>
      <c r="M77" s="64"/>
      <c r="N77" s="64"/>
      <c r="O77" s="35"/>
    </row>
    <row r="78" spans="2:15" ht="249.9" customHeight="1" x14ac:dyDescent="0.3">
      <c r="B78" s="61"/>
      <c r="C78" s="11"/>
      <c r="D78" s="12" t="s">
        <v>211</v>
      </c>
      <c r="E78" s="79" t="s">
        <v>203</v>
      </c>
      <c r="F78" s="79"/>
      <c r="G78" s="79"/>
      <c r="H78" s="63"/>
      <c r="I78" s="63"/>
      <c r="J78" s="10">
        <v>4</v>
      </c>
      <c r="K78"/>
      <c r="L78" s="29"/>
      <c r="M78" s="64"/>
      <c r="N78" s="64"/>
      <c r="O78" s="33"/>
    </row>
    <row r="79" spans="2:15" x14ac:dyDescent="0.25">
      <c r="B79" s="61"/>
      <c r="C79" s="11" t="s">
        <v>82</v>
      </c>
      <c r="D79" s="79" t="s">
        <v>149</v>
      </c>
      <c r="E79" s="79"/>
      <c r="F79" s="79"/>
      <c r="G79" s="79"/>
      <c r="H79" s="12"/>
      <c r="I79" s="55">
        <f>SUM(J80:J84)</f>
        <v>20</v>
      </c>
      <c r="J79" s="13"/>
      <c r="K79" s="55">
        <f>SUM(L80:L84)</f>
        <v>0</v>
      </c>
      <c r="L79" s="13"/>
      <c r="M79" s="57"/>
      <c r="N79" s="50"/>
      <c r="O79" s="35"/>
    </row>
    <row r="80" spans="2:15" ht="249.9" customHeight="1" x14ac:dyDescent="0.3">
      <c r="B80" s="61"/>
      <c r="C80" s="11"/>
      <c r="D80" s="12" t="s">
        <v>83</v>
      </c>
      <c r="E80" s="79" t="s">
        <v>21</v>
      </c>
      <c r="F80" s="79"/>
      <c r="G80" s="79"/>
      <c r="H80" s="12"/>
      <c r="I80" s="13"/>
      <c r="J80" s="12">
        <v>4</v>
      </c>
      <c r="K80"/>
      <c r="L80" s="29"/>
      <c r="M80" s="56"/>
      <c r="N80" s="56"/>
      <c r="O80" s="35"/>
    </row>
    <row r="81" spans="2:15" ht="249.9" customHeight="1" x14ac:dyDescent="0.3">
      <c r="B81" s="61"/>
      <c r="C81" s="11"/>
      <c r="D81" s="12" t="s">
        <v>84</v>
      </c>
      <c r="E81" s="79" t="s">
        <v>85</v>
      </c>
      <c r="F81" s="79"/>
      <c r="G81" s="79"/>
      <c r="H81" s="12"/>
      <c r="I81" s="13"/>
      <c r="J81" s="12">
        <v>4</v>
      </c>
      <c r="K81"/>
      <c r="L81" s="29"/>
      <c r="M81" s="56"/>
      <c r="N81" s="56"/>
      <c r="O81" s="35"/>
    </row>
    <row r="82" spans="2:15" ht="249.9" customHeight="1" x14ac:dyDescent="0.3">
      <c r="B82" s="61"/>
      <c r="C82" s="11"/>
      <c r="D82" s="12" t="s">
        <v>86</v>
      </c>
      <c r="E82" s="79" t="s">
        <v>87</v>
      </c>
      <c r="F82" s="79"/>
      <c r="G82" s="79"/>
      <c r="H82" s="12"/>
      <c r="I82" s="13"/>
      <c r="J82" s="12">
        <v>4</v>
      </c>
      <c r="K82"/>
      <c r="L82" s="29"/>
      <c r="M82" s="56"/>
      <c r="N82" s="56"/>
      <c r="O82" s="35"/>
    </row>
    <row r="83" spans="2:15" ht="249.9" customHeight="1" x14ac:dyDescent="0.3">
      <c r="B83" s="61"/>
      <c r="C83" s="11"/>
      <c r="D83" s="12" t="s">
        <v>88</v>
      </c>
      <c r="E83" s="79" t="s">
        <v>22</v>
      </c>
      <c r="F83" s="79"/>
      <c r="G83" s="79"/>
      <c r="H83" s="12"/>
      <c r="I83" s="13"/>
      <c r="J83" s="12">
        <v>4</v>
      </c>
      <c r="K83"/>
      <c r="L83" s="29"/>
      <c r="M83" s="56"/>
      <c r="N83" s="56"/>
      <c r="O83" s="35"/>
    </row>
    <row r="84" spans="2:15" ht="249.9" customHeight="1" x14ac:dyDescent="0.3">
      <c r="B84" s="61"/>
      <c r="C84" s="11"/>
      <c r="D84" s="12" t="s">
        <v>240</v>
      </c>
      <c r="E84" s="79" t="s">
        <v>241</v>
      </c>
      <c r="F84" s="79"/>
      <c r="G84" s="79"/>
      <c r="H84" s="12"/>
      <c r="I84" s="13"/>
      <c r="J84" s="12">
        <v>4</v>
      </c>
      <c r="K84"/>
      <c r="L84" s="29"/>
      <c r="M84" s="56"/>
      <c r="N84" s="56"/>
      <c r="O84" s="35"/>
    </row>
    <row r="85" spans="2:15" x14ac:dyDescent="0.25">
      <c r="B85" s="61"/>
      <c r="C85" s="11" t="s">
        <v>89</v>
      </c>
      <c r="D85" s="83" t="s">
        <v>212</v>
      </c>
      <c r="E85" s="83"/>
      <c r="F85" s="83"/>
      <c r="G85" s="83"/>
      <c r="H85" s="12"/>
      <c r="I85" s="55">
        <f>SUM(J86:J89)</f>
        <v>14</v>
      </c>
      <c r="J85" s="13"/>
      <c r="K85" s="55">
        <f>SUM(L86:L89)</f>
        <v>0</v>
      </c>
      <c r="L85" s="13"/>
      <c r="M85" s="57"/>
      <c r="N85" s="50"/>
      <c r="O85" s="35"/>
    </row>
    <row r="86" spans="2:15" ht="249.9" customHeight="1" x14ac:dyDescent="0.3">
      <c r="B86" s="61"/>
      <c r="C86" s="59"/>
      <c r="D86" s="60" t="s">
        <v>90</v>
      </c>
      <c r="E86" s="83" t="s">
        <v>91</v>
      </c>
      <c r="F86" s="83"/>
      <c r="G86" s="83"/>
      <c r="H86" s="12"/>
      <c r="I86" s="13"/>
      <c r="J86" s="12">
        <v>2</v>
      </c>
      <c r="K86"/>
      <c r="L86" s="29"/>
      <c r="M86" s="56"/>
      <c r="N86" s="56"/>
      <c r="O86" s="35"/>
    </row>
    <row r="87" spans="2:15" ht="249.9" customHeight="1" x14ac:dyDescent="0.3">
      <c r="B87" s="61"/>
      <c r="C87" s="59"/>
      <c r="D87" s="60" t="s">
        <v>92</v>
      </c>
      <c r="E87" s="83" t="s">
        <v>93</v>
      </c>
      <c r="F87" s="83"/>
      <c r="G87" s="83"/>
      <c r="H87" s="12"/>
      <c r="I87" s="13"/>
      <c r="J87" s="12">
        <v>4</v>
      </c>
      <c r="K87"/>
      <c r="L87" s="29"/>
      <c r="M87" s="56"/>
      <c r="N87" s="56"/>
      <c r="O87" s="35"/>
    </row>
    <row r="88" spans="2:15" ht="249.9" customHeight="1" x14ac:dyDescent="0.3">
      <c r="B88" s="61"/>
      <c r="C88" s="59"/>
      <c r="D88" s="60" t="s">
        <v>94</v>
      </c>
      <c r="E88" s="83" t="s">
        <v>95</v>
      </c>
      <c r="F88" s="83"/>
      <c r="G88" s="83"/>
      <c r="H88" s="12"/>
      <c r="I88" s="13"/>
      <c r="J88" s="12">
        <v>4</v>
      </c>
      <c r="K88"/>
      <c r="L88" s="29"/>
      <c r="M88" s="56"/>
      <c r="N88" s="56"/>
      <c r="O88" s="35"/>
    </row>
    <row r="89" spans="2:15" ht="249.9" customHeight="1" x14ac:dyDescent="0.3">
      <c r="B89" s="61"/>
      <c r="C89" s="59"/>
      <c r="D89" s="60" t="s">
        <v>96</v>
      </c>
      <c r="E89" s="83" t="s">
        <v>97</v>
      </c>
      <c r="F89" s="83"/>
      <c r="G89" s="83"/>
      <c r="H89" s="12"/>
      <c r="I89" s="13"/>
      <c r="J89" s="12">
        <v>4</v>
      </c>
      <c r="K89"/>
      <c r="L89" s="29"/>
      <c r="M89" s="56"/>
      <c r="N89" s="56"/>
      <c r="O89" s="35"/>
    </row>
    <row r="90" spans="2:15" x14ac:dyDescent="0.25">
      <c r="B90" s="61"/>
      <c r="C90" s="11" t="s">
        <v>98</v>
      </c>
      <c r="D90" s="79" t="s">
        <v>162</v>
      </c>
      <c r="E90" s="79"/>
      <c r="F90" s="79"/>
      <c r="G90" s="79"/>
      <c r="H90" s="12"/>
      <c r="I90" s="55">
        <f>SUM(J91:J92)</f>
        <v>6</v>
      </c>
      <c r="J90" s="13"/>
      <c r="K90" s="55">
        <f>SUM(L91:L92)</f>
        <v>0</v>
      </c>
      <c r="L90" s="13"/>
      <c r="M90" s="57"/>
      <c r="N90" s="50"/>
      <c r="O90" s="35"/>
    </row>
    <row r="91" spans="2:15" ht="249.9" customHeight="1" x14ac:dyDescent="0.3">
      <c r="B91" s="61"/>
      <c r="C91" s="59"/>
      <c r="D91" s="12" t="s">
        <v>99</v>
      </c>
      <c r="E91" s="79" t="s">
        <v>100</v>
      </c>
      <c r="F91" s="79"/>
      <c r="G91" s="79"/>
      <c r="H91" s="12"/>
      <c r="I91" s="13"/>
      <c r="J91" s="12">
        <v>3</v>
      </c>
      <c r="K91"/>
      <c r="L91" s="29"/>
      <c r="M91" s="56"/>
      <c r="N91" s="56"/>
      <c r="O91" s="35"/>
    </row>
    <row r="92" spans="2:15" ht="249.9" customHeight="1" x14ac:dyDescent="0.3">
      <c r="B92" s="61"/>
      <c r="C92" s="59"/>
      <c r="D92" s="12" t="s">
        <v>101</v>
      </c>
      <c r="E92" s="79" t="s">
        <v>102</v>
      </c>
      <c r="F92" s="79"/>
      <c r="G92" s="79"/>
      <c r="H92" s="12"/>
      <c r="I92" s="13"/>
      <c r="J92" s="12">
        <v>3</v>
      </c>
      <c r="K92"/>
      <c r="L92" s="29"/>
      <c r="M92" s="56"/>
      <c r="N92" s="56"/>
      <c r="O92" s="35"/>
    </row>
    <row r="93" spans="2:15" ht="249.9" customHeight="1" x14ac:dyDescent="0.3">
      <c r="B93" s="61"/>
      <c r="C93" s="11" t="s">
        <v>103</v>
      </c>
      <c r="D93" s="79" t="s">
        <v>150</v>
      </c>
      <c r="E93" s="79"/>
      <c r="F93" s="79"/>
      <c r="G93" s="79"/>
      <c r="H93" s="12"/>
      <c r="I93" s="13">
        <v>4</v>
      </c>
      <c r="J93" s="13"/>
      <c r="K93" s="29"/>
      <c r="L93"/>
      <c r="M93" s="57"/>
      <c r="N93" s="50"/>
      <c r="O93" s="35"/>
    </row>
    <row r="94" spans="2:15" x14ac:dyDescent="0.25">
      <c r="B94" s="61"/>
      <c r="C94" s="82" t="s">
        <v>104</v>
      </c>
      <c r="D94" s="79" t="s">
        <v>151</v>
      </c>
      <c r="E94" s="79"/>
      <c r="F94" s="79"/>
      <c r="G94" s="79"/>
      <c r="H94" s="12"/>
      <c r="I94" s="55">
        <f>SUM(J95:J97)</f>
        <v>6</v>
      </c>
      <c r="J94" s="13"/>
      <c r="K94" s="55">
        <f>SUM(L95:L97)</f>
        <v>0</v>
      </c>
      <c r="L94" s="13"/>
      <c r="M94" s="57"/>
      <c r="N94" s="50"/>
      <c r="O94" s="35"/>
    </row>
    <row r="95" spans="2:15" ht="249.9" customHeight="1" x14ac:dyDescent="0.3">
      <c r="B95" s="61"/>
      <c r="C95" s="82"/>
      <c r="D95" s="12" t="s">
        <v>105</v>
      </c>
      <c r="E95" s="79" t="s">
        <v>106</v>
      </c>
      <c r="F95" s="79"/>
      <c r="G95" s="79"/>
      <c r="H95" s="12"/>
      <c r="I95" s="13"/>
      <c r="J95" s="12">
        <v>2</v>
      </c>
      <c r="K95"/>
      <c r="L95" s="29"/>
      <c r="M95" s="56"/>
      <c r="N95" s="56"/>
      <c r="O95" s="33"/>
    </row>
    <row r="96" spans="2:15" ht="249.9" customHeight="1" x14ac:dyDescent="0.3">
      <c r="B96" s="61"/>
      <c r="C96" s="82"/>
      <c r="D96" s="12" t="s">
        <v>108</v>
      </c>
      <c r="E96" s="79" t="s">
        <v>107</v>
      </c>
      <c r="F96" s="79"/>
      <c r="G96" s="79"/>
      <c r="H96" s="12"/>
      <c r="I96" s="13"/>
      <c r="J96" s="12">
        <v>2</v>
      </c>
      <c r="K96"/>
      <c r="L96" s="29"/>
      <c r="M96" s="56"/>
      <c r="N96" s="56"/>
      <c r="O96" s="33"/>
    </row>
    <row r="97" spans="2:15" ht="249.9" customHeight="1" x14ac:dyDescent="0.3">
      <c r="B97" s="61"/>
      <c r="C97" s="82"/>
      <c r="D97" s="12" t="s">
        <v>109</v>
      </c>
      <c r="E97" s="79" t="s">
        <v>110</v>
      </c>
      <c r="F97" s="79"/>
      <c r="G97" s="79"/>
      <c r="H97" s="12"/>
      <c r="I97" s="13"/>
      <c r="J97" s="12">
        <v>2</v>
      </c>
      <c r="K97"/>
      <c r="L97" s="29"/>
      <c r="M97" s="56"/>
      <c r="N97" s="56"/>
      <c r="O97" s="35"/>
    </row>
    <row r="98" spans="2:15" ht="249.9" customHeight="1" x14ac:dyDescent="0.3">
      <c r="B98" s="61"/>
      <c r="C98" s="11" t="s">
        <v>111</v>
      </c>
      <c r="D98" s="79" t="s">
        <v>152</v>
      </c>
      <c r="E98" s="79"/>
      <c r="F98" s="79"/>
      <c r="G98" s="79"/>
      <c r="H98" s="12"/>
      <c r="I98" s="13">
        <v>3</v>
      </c>
      <c r="J98" s="13"/>
      <c r="K98" s="29"/>
      <c r="L98"/>
      <c r="M98" s="57"/>
      <c r="N98" s="50"/>
      <c r="O98" s="35"/>
    </row>
    <row r="99" spans="2:15" ht="249.9" customHeight="1" x14ac:dyDescent="0.3">
      <c r="B99" s="61"/>
      <c r="C99" s="11" t="s">
        <v>112</v>
      </c>
      <c r="D99" s="79" t="s">
        <v>113</v>
      </c>
      <c r="E99" s="79"/>
      <c r="F99" s="79"/>
      <c r="G99" s="79"/>
      <c r="H99" s="11"/>
      <c r="I99" s="65">
        <v>3</v>
      </c>
      <c r="J99" s="13"/>
      <c r="K99" s="29"/>
      <c r="L99"/>
      <c r="M99" s="57"/>
      <c r="N99" s="50"/>
      <c r="O99" s="35"/>
    </row>
    <row r="100" spans="2:15" ht="249.9" customHeight="1" x14ac:dyDescent="0.3">
      <c r="B100" s="61"/>
      <c r="C100" s="11" t="s">
        <v>114</v>
      </c>
      <c r="D100" s="79" t="s">
        <v>249</v>
      </c>
      <c r="E100" s="79"/>
      <c r="F100" s="79"/>
      <c r="G100" s="79"/>
      <c r="H100" s="12"/>
      <c r="I100" s="65">
        <v>3</v>
      </c>
      <c r="J100" s="13"/>
      <c r="K100" s="29"/>
      <c r="L100"/>
      <c r="M100" s="57"/>
      <c r="N100" s="50"/>
      <c r="O100" s="35"/>
    </row>
    <row r="101" spans="2:15" x14ac:dyDescent="0.35">
      <c r="B101" s="66"/>
      <c r="C101" s="67"/>
      <c r="D101" s="68"/>
      <c r="E101" s="69"/>
      <c r="F101" s="69"/>
      <c r="G101" s="69"/>
      <c r="H101" s="37"/>
      <c r="I101" s="40"/>
      <c r="J101" s="37"/>
      <c r="K101" s="10"/>
      <c r="L101" s="10"/>
      <c r="M101" s="15"/>
      <c r="N101" s="15"/>
      <c r="O101" s="35"/>
    </row>
    <row r="102" spans="2:15" x14ac:dyDescent="0.35">
      <c r="B102" s="61" t="s">
        <v>115</v>
      </c>
      <c r="C102" s="81" t="s">
        <v>246</v>
      </c>
      <c r="D102" s="81"/>
      <c r="E102" s="81"/>
      <c r="F102" s="81"/>
      <c r="G102" s="81"/>
      <c r="H102" s="41">
        <v>0.15</v>
      </c>
      <c r="I102" s="42">
        <f>SUM(I103:I119)</f>
        <v>60</v>
      </c>
      <c r="J102" s="13"/>
      <c r="K102" s="10"/>
      <c r="L102" s="10"/>
      <c r="M102" s="15">
        <f>SUM(K103:K119)</f>
        <v>0</v>
      </c>
      <c r="N102" s="25">
        <f>M102/$I$102*$H$102</f>
        <v>0</v>
      </c>
      <c r="O102" s="35"/>
    </row>
    <row r="103" spans="2:15" x14ac:dyDescent="0.25">
      <c r="B103" s="61"/>
      <c r="C103" s="11" t="s">
        <v>116</v>
      </c>
      <c r="D103" s="79" t="s">
        <v>117</v>
      </c>
      <c r="E103" s="79"/>
      <c r="F103" s="79"/>
      <c r="G103" s="79"/>
      <c r="H103" s="12"/>
      <c r="I103" s="55">
        <f>SUM(J104:J108)</f>
        <v>20</v>
      </c>
      <c r="J103" s="13"/>
      <c r="K103" s="55">
        <f>SUM(L104:L108)</f>
        <v>0</v>
      </c>
      <c r="L103" s="13"/>
      <c r="M103" s="57"/>
      <c r="N103" s="50"/>
      <c r="O103" s="35"/>
    </row>
    <row r="104" spans="2:15" ht="249.9" customHeight="1" x14ac:dyDescent="0.3">
      <c r="B104" s="61"/>
      <c r="C104" s="11"/>
      <c r="D104" s="12" t="s">
        <v>118</v>
      </c>
      <c r="E104" s="79" t="s">
        <v>213</v>
      </c>
      <c r="F104" s="79"/>
      <c r="G104" s="79"/>
      <c r="H104" s="13"/>
      <c r="I104" s="13"/>
      <c r="J104" s="70">
        <v>4</v>
      </c>
      <c r="K104"/>
      <c r="L104" s="29"/>
      <c r="M104" s="57"/>
      <c r="N104" s="57"/>
      <c r="O104" s="35"/>
    </row>
    <row r="105" spans="2:15" ht="249.9" customHeight="1" x14ac:dyDescent="0.3">
      <c r="B105" s="61"/>
      <c r="C105" s="11"/>
      <c r="D105" s="12" t="s">
        <v>119</v>
      </c>
      <c r="E105" s="79" t="s">
        <v>214</v>
      </c>
      <c r="F105" s="79"/>
      <c r="G105" s="79"/>
      <c r="H105" s="12"/>
      <c r="I105" s="13"/>
      <c r="J105" s="70">
        <v>4</v>
      </c>
      <c r="K105"/>
      <c r="L105" s="29"/>
      <c r="M105" s="56"/>
      <c r="N105" s="56"/>
      <c r="O105" s="35"/>
    </row>
    <row r="106" spans="2:15" ht="249.9" customHeight="1" x14ac:dyDescent="0.3">
      <c r="B106" s="61"/>
      <c r="C106" s="11"/>
      <c r="D106" s="12" t="s">
        <v>120</v>
      </c>
      <c r="E106" s="79" t="s">
        <v>215</v>
      </c>
      <c r="F106" s="79"/>
      <c r="G106" s="79"/>
      <c r="H106" s="12"/>
      <c r="I106" s="13"/>
      <c r="J106" s="70">
        <v>4</v>
      </c>
      <c r="K106"/>
      <c r="L106" s="29"/>
      <c r="M106" s="56"/>
      <c r="N106" s="56"/>
      <c r="O106" s="35"/>
    </row>
    <row r="107" spans="2:15" ht="249.9" customHeight="1" x14ac:dyDescent="0.3">
      <c r="B107" s="61"/>
      <c r="C107" s="11"/>
      <c r="D107" s="12" t="s">
        <v>121</v>
      </c>
      <c r="E107" s="79" t="s">
        <v>216</v>
      </c>
      <c r="F107" s="79"/>
      <c r="G107" s="79"/>
      <c r="H107" s="11"/>
      <c r="I107" s="10"/>
      <c r="J107" s="11">
        <v>4</v>
      </c>
      <c r="K107"/>
      <c r="L107" s="29"/>
      <c r="M107" s="30"/>
      <c r="N107" s="30"/>
      <c r="O107" s="35"/>
    </row>
    <row r="108" spans="2:15" ht="249.9" customHeight="1" x14ac:dyDescent="0.3">
      <c r="B108" s="61"/>
      <c r="C108" s="11"/>
      <c r="D108" s="12" t="s">
        <v>122</v>
      </c>
      <c r="E108" s="79" t="s">
        <v>217</v>
      </c>
      <c r="F108" s="79"/>
      <c r="G108" s="79"/>
      <c r="H108" s="11"/>
      <c r="I108" s="10"/>
      <c r="J108" s="11">
        <v>4</v>
      </c>
      <c r="K108"/>
      <c r="L108" s="29"/>
      <c r="M108" s="30"/>
      <c r="N108" s="30"/>
      <c r="O108" s="35"/>
    </row>
    <row r="109" spans="2:15" ht="249.9" customHeight="1" x14ac:dyDescent="0.3">
      <c r="B109" s="61"/>
      <c r="C109" s="11" t="s">
        <v>123</v>
      </c>
      <c r="D109" s="79" t="s">
        <v>153</v>
      </c>
      <c r="E109" s="79"/>
      <c r="F109" s="79"/>
      <c r="G109" s="79"/>
      <c r="H109" s="11"/>
      <c r="I109" s="65">
        <v>4</v>
      </c>
      <c r="J109" s="13"/>
      <c r="K109" s="29"/>
      <c r="L109"/>
      <c r="M109" s="57"/>
      <c r="N109" s="50"/>
      <c r="O109" s="35"/>
    </row>
    <row r="110" spans="2:15" ht="249.9" customHeight="1" x14ac:dyDescent="0.3">
      <c r="B110" s="61"/>
      <c r="C110" s="11" t="s">
        <v>124</v>
      </c>
      <c r="D110" s="79" t="s">
        <v>154</v>
      </c>
      <c r="E110" s="79"/>
      <c r="F110" s="79"/>
      <c r="G110" s="79"/>
      <c r="H110" s="12"/>
      <c r="I110" s="65">
        <v>4</v>
      </c>
      <c r="J110" s="13"/>
      <c r="K110" s="29"/>
      <c r="L110"/>
      <c r="M110" s="57"/>
      <c r="N110" s="50"/>
      <c r="O110" s="35"/>
    </row>
    <row r="111" spans="2:15" ht="249.9" customHeight="1" x14ac:dyDescent="0.3">
      <c r="B111" s="61"/>
      <c r="C111" s="11" t="s">
        <v>125</v>
      </c>
      <c r="D111" s="79" t="s">
        <v>155</v>
      </c>
      <c r="E111" s="79"/>
      <c r="F111" s="79"/>
      <c r="G111" s="79"/>
      <c r="H111" s="11"/>
      <c r="I111" s="65">
        <v>4</v>
      </c>
      <c r="J111" s="13"/>
      <c r="K111" s="29"/>
      <c r="L111"/>
      <c r="M111" s="57"/>
      <c r="N111" s="50"/>
      <c r="O111" s="35"/>
    </row>
    <row r="112" spans="2:15" x14ac:dyDescent="0.25">
      <c r="B112" s="61"/>
      <c r="C112" s="82" t="s">
        <v>126</v>
      </c>
      <c r="D112" s="79" t="s">
        <v>156</v>
      </c>
      <c r="E112" s="79"/>
      <c r="F112" s="79"/>
      <c r="G112" s="79"/>
      <c r="H112" s="11"/>
      <c r="I112" s="71">
        <f>SUM(J113:J117)</f>
        <v>20</v>
      </c>
      <c r="J112" s="13"/>
      <c r="K112" s="42">
        <f>SUM(L113:L117)</f>
        <v>0</v>
      </c>
      <c r="L112" s="10"/>
      <c r="M112" s="57"/>
      <c r="N112" s="50"/>
      <c r="O112" s="35"/>
    </row>
    <row r="113" spans="2:15" ht="249.9" customHeight="1" x14ac:dyDescent="0.3">
      <c r="B113" s="61"/>
      <c r="C113" s="82"/>
      <c r="D113" s="12" t="s">
        <v>127</v>
      </c>
      <c r="E113" s="79" t="s">
        <v>66</v>
      </c>
      <c r="F113" s="79"/>
      <c r="G113" s="79"/>
      <c r="H113" s="11"/>
      <c r="I113" s="10"/>
      <c r="J113" s="70">
        <v>4</v>
      </c>
      <c r="K113"/>
      <c r="L113" s="29"/>
      <c r="M113" s="30"/>
      <c r="N113" s="30"/>
      <c r="O113" s="35"/>
    </row>
    <row r="114" spans="2:15" ht="249.9" customHeight="1" x14ac:dyDescent="0.3">
      <c r="B114" s="61"/>
      <c r="C114" s="82"/>
      <c r="D114" s="12" t="s">
        <v>128</v>
      </c>
      <c r="E114" s="79" t="s">
        <v>68</v>
      </c>
      <c r="F114" s="79"/>
      <c r="G114" s="79"/>
      <c r="H114" s="11"/>
      <c r="I114" s="10"/>
      <c r="J114" s="70">
        <v>4</v>
      </c>
      <c r="K114"/>
      <c r="L114" s="29"/>
      <c r="M114" s="30"/>
      <c r="N114" s="30"/>
      <c r="O114" s="35"/>
    </row>
    <row r="115" spans="2:15" ht="249.9" customHeight="1" x14ac:dyDescent="0.3">
      <c r="B115" s="61"/>
      <c r="C115" s="82"/>
      <c r="D115" s="12" t="s">
        <v>129</v>
      </c>
      <c r="E115" s="79" t="s">
        <v>130</v>
      </c>
      <c r="F115" s="79"/>
      <c r="G115" s="79"/>
      <c r="H115" s="11"/>
      <c r="I115" s="10"/>
      <c r="J115" s="70">
        <v>4</v>
      </c>
      <c r="K115"/>
      <c r="L115" s="29"/>
      <c r="M115" s="30"/>
      <c r="N115" s="30"/>
      <c r="O115" s="35"/>
    </row>
    <row r="116" spans="2:15" ht="249.9" customHeight="1" x14ac:dyDescent="0.3">
      <c r="B116" s="61"/>
      <c r="C116" s="82"/>
      <c r="D116" s="12" t="s">
        <v>218</v>
      </c>
      <c r="E116" s="79" t="s">
        <v>167</v>
      </c>
      <c r="F116" s="79"/>
      <c r="G116" s="79"/>
      <c r="H116" s="11"/>
      <c r="I116" s="10"/>
      <c r="J116" s="70">
        <v>4</v>
      </c>
      <c r="K116"/>
      <c r="L116" s="29"/>
      <c r="M116" s="30"/>
      <c r="N116" s="30"/>
      <c r="O116" s="35"/>
    </row>
    <row r="117" spans="2:15" ht="249.9" customHeight="1" x14ac:dyDescent="0.3">
      <c r="B117" s="61"/>
      <c r="C117" s="82"/>
      <c r="D117" s="12" t="s">
        <v>219</v>
      </c>
      <c r="E117" s="79" t="s">
        <v>220</v>
      </c>
      <c r="F117" s="79"/>
      <c r="G117" s="79"/>
      <c r="H117" s="12"/>
      <c r="I117" s="13"/>
      <c r="J117" s="70">
        <v>4</v>
      </c>
      <c r="K117"/>
      <c r="L117" s="29"/>
      <c r="M117" s="56"/>
      <c r="N117" s="56"/>
      <c r="O117" s="35"/>
    </row>
    <row r="118" spans="2:15" ht="249.9" customHeight="1" x14ac:dyDescent="0.3">
      <c r="B118" s="61"/>
      <c r="C118" s="11" t="s">
        <v>131</v>
      </c>
      <c r="D118" s="79" t="s">
        <v>221</v>
      </c>
      <c r="E118" s="79"/>
      <c r="F118" s="79"/>
      <c r="G118" s="79"/>
      <c r="H118" s="12"/>
      <c r="I118" s="13">
        <v>4</v>
      </c>
      <c r="J118" s="13"/>
      <c r="K118" s="29"/>
      <c r="L118"/>
      <c r="M118" s="57"/>
      <c r="N118" s="50"/>
      <c r="O118" s="35"/>
    </row>
    <row r="119" spans="2:15" ht="249.9" customHeight="1" x14ac:dyDescent="0.3">
      <c r="B119" s="61"/>
      <c r="C119" s="11" t="s">
        <v>132</v>
      </c>
      <c r="D119" s="79" t="s">
        <v>222</v>
      </c>
      <c r="E119" s="79"/>
      <c r="F119" s="79"/>
      <c r="G119" s="79"/>
      <c r="H119" s="11"/>
      <c r="I119" s="13">
        <v>4</v>
      </c>
      <c r="J119" s="13"/>
      <c r="K119" s="29"/>
      <c r="L119"/>
      <c r="M119" s="57"/>
      <c r="N119" s="50"/>
      <c r="O119" s="35"/>
    </row>
    <row r="120" spans="2:15" x14ac:dyDescent="0.35">
      <c r="B120" s="66"/>
      <c r="C120" s="67"/>
      <c r="D120" s="68"/>
      <c r="E120" s="69"/>
      <c r="F120" s="69"/>
      <c r="G120" s="69"/>
      <c r="H120" s="37"/>
      <c r="I120" s="40"/>
      <c r="J120" s="37"/>
      <c r="K120" s="10"/>
      <c r="L120" s="10"/>
      <c r="M120" s="15"/>
      <c r="N120" s="15"/>
      <c r="O120" s="35"/>
    </row>
    <row r="121" spans="2:15" x14ac:dyDescent="0.25">
      <c r="B121" s="61" t="s">
        <v>133</v>
      </c>
      <c r="C121" s="79" t="s">
        <v>134</v>
      </c>
      <c r="D121" s="79"/>
      <c r="E121" s="79"/>
      <c r="F121" s="79"/>
      <c r="G121" s="79"/>
      <c r="H121" s="72">
        <v>0.03</v>
      </c>
      <c r="I121" s="55">
        <f>SUM(I122:I125)</f>
        <v>12</v>
      </c>
      <c r="J121" s="12"/>
      <c r="K121" s="13"/>
      <c r="L121" s="13"/>
      <c r="M121" s="56">
        <f>SUM(K122:K125)</f>
        <v>0</v>
      </c>
      <c r="N121" s="25">
        <f>M121/$I$121*$H$121</f>
        <v>0</v>
      </c>
      <c r="O121" s="35"/>
    </row>
    <row r="122" spans="2:15" ht="249.9" customHeight="1" x14ac:dyDescent="0.3">
      <c r="B122" s="54"/>
      <c r="C122" s="11" t="s">
        <v>135</v>
      </c>
      <c r="D122" s="79" t="s">
        <v>223</v>
      </c>
      <c r="E122" s="79"/>
      <c r="F122" s="79"/>
      <c r="G122" s="79"/>
      <c r="H122" s="12"/>
      <c r="I122" s="13">
        <v>4</v>
      </c>
      <c r="J122" s="13"/>
      <c r="K122" s="29"/>
      <c r="L122"/>
      <c r="M122" s="57"/>
      <c r="N122" s="50"/>
      <c r="O122" s="35"/>
    </row>
    <row r="123" spans="2:15" ht="249.9" customHeight="1" x14ac:dyDescent="0.3">
      <c r="B123" s="54"/>
      <c r="C123" s="11" t="s">
        <v>136</v>
      </c>
      <c r="D123" s="79" t="s">
        <v>224</v>
      </c>
      <c r="E123" s="79"/>
      <c r="F123" s="79"/>
      <c r="G123" s="79"/>
      <c r="H123" s="12"/>
      <c r="I123" s="13">
        <v>3</v>
      </c>
      <c r="J123" s="13"/>
      <c r="K123" s="29"/>
      <c r="L123"/>
      <c r="M123" s="57"/>
      <c r="N123" s="50"/>
      <c r="O123" s="73"/>
    </row>
    <row r="124" spans="2:15" ht="249.9" customHeight="1" x14ac:dyDescent="0.3">
      <c r="B124" s="54"/>
      <c r="C124" s="11" t="s">
        <v>137</v>
      </c>
      <c r="D124" s="79" t="s">
        <v>225</v>
      </c>
      <c r="E124" s="79"/>
      <c r="F124" s="79"/>
      <c r="G124" s="79"/>
      <c r="H124" s="12"/>
      <c r="I124" s="13">
        <v>3</v>
      </c>
      <c r="J124" s="13"/>
      <c r="K124" s="29"/>
      <c r="L124"/>
      <c r="M124" s="57"/>
      <c r="N124" s="50"/>
      <c r="O124" s="35"/>
    </row>
    <row r="125" spans="2:15" ht="249.9" customHeight="1" x14ac:dyDescent="0.3">
      <c r="B125" s="54"/>
      <c r="C125" s="11" t="s">
        <v>138</v>
      </c>
      <c r="D125" s="79" t="s">
        <v>157</v>
      </c>
      <c r="E125" s="79"/>
      <c r="F125" s="79"/>
      <c r="G125" s="79"/>
      <c r="H125" s="12"/>
      <c r="I125" s="13">
        <v>2</v>
      </c>
      <c r="J125" s="13"/>
      <c r="K125" s="29"/>
      <c r="L125"/>
      <c r="M125" s="57"/>
      <c r="N125" s="50"/>
      <c r="O125" s="35"/>
    </row>
    <row r="126" spans="2:15" x14ac:dyDescent="0.35">
      <c r="B126" s="66"/>
      <c r="C126" s="67"/>
      <c r="D126" s="68"/>
      <c r="E126" s="69"/>
      <c r="F126" s="69"/>
      <c r="G126" s="69"/>
      <c r="H126" s="37"/>
      <c r="I126" s="40"/>
      <c r="J126" s="37"/>
      <c r="K126" s="10"/>
      <c r="L126" s="10"/>
      <c r="M126" s="15"/>
      <c r="N126" s="15"/>
      <c r="O126" s="35"/>
    </row>
    <row r="127" spans="2:15" x14ac:dyDescent="0.25">
      <c r="B127" s="61" t="s">
        <v>139</v>
      </c>
      <c r="C127" s="81" t="s">
        <v>247</v>
      </c>
      <c r="D127" s="81"/>
      <c r="E127" s="81"/>
      <c r="F127" s="81"/>
      <c r="G127" s="81"/>
      <c r="H127" s="74">
        <v>0.05</v>
      </c>
      <c r="I127" s="55">
        <f>SUM(I128:I133)</f>
        <v>13</v>
      </c>
      <c r="J127" s="13"/>
      <c r="K127" s="10"/>
      <c r="L127" s="10"/>
      <c r="M127" s="57">
        <f>SUM(K128:K133)</f>
        <v>0</v>
      </c>
      <c r="N127" s="25">
        <f>M127/$I$127*$H$127</f>
        <v>0</v>
      </c>
      <c r="O127" s="35"/>
    </row>
    <row r="128" spans="2:15" ht="249.9" customHeight="1" x14ac:dyDescent="0.3">
      <c r="B128" s="61"/>
      <c r="C128" s="11" t="s">
        <v>226</v>
      </c>
      <c r="D128" s="79" t="s">
        <v>227</v>
      </c>
      <c r="E128" s="79"/>
      <c r="F128" s="79"/>
      <c r="G128" s="79"/>
      <c r="H128" s="27"/>
      <c r="I128" s="13">
        <v>4</v>
      </c>
      <c r="J128" s="27"/>
      <c r="K128" s="29"/>
      <c r="L128"/>
      <c r="M128" s="28"/>
      <c r="N128" s="28"/>
      <c r="O128" s="35"/>
    </row>
    <row r="129" spans="2:15" ht="249.9" customHeight="1" x14ac:dyDescent="0.3">
      <c r="B129" s="61"/>
      <c r="C129" s="11" t="s">
        <v>233</v>
      </c>
      <c r="D129" s="79" t="s">
        <v>228</v>
      </c>
      <c r="E129" s="79"/>
      <c r="F129" s="79"/>
      <c r="G129" s="79"/>
      <c r="H129" s="27"/>
      <c r="I129" s="13">
        <v>2</v>
      </c>
      <c r="J129" s="27"/>
      <c r="K129" s="29"/>
      <c r="L129"/>
      <c r="M129" s="28"/>
      <c r="N129" s="28"/>
      <c r="O129" s="35"/>
    </row>
    <row r="130" spans="2:15" ht="249.9" customHeight="1" x14ac:dyDescent="0.3">
      <c r="B130" s="61"/>
      <c r="C130" s="11" t="s">
        <v>234</v>
      </c>
      <c r="D130" s="79" t="s">
        <v>229</v>
      </c>
      <c r="E130" s="79"/>
      <c r="F130" s="79"/>
      <c r="G130" s="79"/>
      <c r="H130" s="27"/>
      <c r="I130" s="13">
        <v>2</v>
      </c>
      <c r="J130" s="27"/>
      <c r="K130" s="29"/>
      <c r="L130"/>
      <c r="M130" s="28"/>
      <c r="N130" s="28"/>
      <c r="O130" s="35"/>
    </row>
    <row r="131" spans="2:15" ht="249.9" customHeight="1" x14ac:dyDescent="0.3">
      <c r="B131" s="61"/>
      <c r="C131" s="11" t="s">
        <v>235</v>
      </c>
      <c r="D131" s="79" t="s">
        <v>230</v>
      </c>
      <c r="E131" s="79"/>
      <c r="F131" s="79"/>
      <c r="G131" s="79"/>
      <c r="H131" s="27"/>
      <c r="I131" s="13">
        <v>2</v>
      </c>
      <c r="J131" s="27"/>
      <c r="K131" s="29"/>
      <c r="L131"/>
      <c r="M131" s="28"/>
      <c r="N131" s="28"/>
      <c r="O131" s="35"/>
    </row>
    <row r="132" spans="2:15" ht="249.9" customHeight="1" x14ac:dyDescent="0.3">
      <c r="B132" s="61"/>
      <c r="C132" s="11" t="s">
        <v>236</v>
      </c>
      <c r="D132" s="79" t="s">
        <v>231</v>
      </c>
      <c r="E132" s="79"/>
      <c r="F132" s="79"/>
      <c r="G132" s="79"/>
      <c r="H132" s="27"/>
      <c r="I132" s="13">
        <v>1</v>
      </c>
      <c r="J132" s="27"/>
      <c r="K132" s="29"/>
      <c r="L132"/>
      <c r="M132" s="28"/>
      <c r="N132" s="28"/>
      <c r="O132" s="35"/>
    </row>
    <row r="133" spans="2:15" ht="249.9" customHeight="1" x14ac:dyDescent="0.3">
      <c r="B133" s="61"/>
      <c r="C133" s="11" t="s">
        <v>237</v>
      </c>
      <c r="D133" s="79" t="s">
        <v>232</v>
      </c>
      <c r="E133" s="79"/>
      <c r="F133" s="79"/>
      <c r="G133" s="79"/>
      <c r="H133" s="27"/>
      <c r="I133" s="13">
        <v>2</v>
      </c>
      <c r="J133" s="27"/>
      <c r="K133" s="29"/>
      <c r="L133"/>
      <c r="M133" s="28"/>
      <c r="N133" s="28"/>
      <c r="O133" s="35"/>
    </row>
    <row r="134" spans="2:15" x14ac:dyDescent="0.25">
      <c r="B134" s="61"/>
      <c r="C134" s="80" t="s">
        <v>140</v>
      </c>
      <c r="D134" s="80"/>
      <c r="E134" s="80"/>
      <c r="F134" s="80"/>
      <c r="G134" s="80"/>
      <c r="H134" s="75">
        <f>SUM(H7+H15+H27+H52+H102+H121+H127)</f>
        <v>1</v>
      </c>
      <c r="I134" s="7">
        <f>SUM(I7+I15+I27+I52+I102+I121+I127)</f>
        <v>333</v>
      </c>
      <c r="J134" s="17"/>
      <c r="K134" s="76"/>
      <c r="L134" s="17"/>
      <c r="M134" s="77">
        <f>SUM(M7+M15+M27+M52+M102+M121+M127)</f>
        <v>0</v>
      </c>
      <c r="N134" s="78">
        <f>SUM(N7+N15+N27+N52+N102+N121+N127)</f>
        <v>0</v>
      </c>
      <c r="O134" s="17"/>
    </row>
  </sheetData>
  <mergeCells count="138">
    <mergeCell ref="A1:A1048576"/>
    <mergeCell ref="B1:O1"/>
    <mergeCell ref="B2:O3"/>
    <mergeCell ref="B5:G6"/>
    <mergeCell ref="H5:H6"/>
    <mergeCell ref="I5:I6"/>
    <mergeCell ref="J5:J6"/>
    <mergeCell ref="K5:N5"/>
    <mergeCell ref="O5:O6"/>
    <mergeCell ref="D10:G10"/>
    <mergeCell ref="B7:B13"/>
    <mergeCell ref="C7:G7"/>
    <mergeCell ref="C8:G8"/>
    <mergeCell ref="D9:G9"/>
    <mergeCell ref="D12:G12"/>
    <mergeCell ref="D13:G13"/>
    <mergeCell ref="D11:G11"/>
    <mergeCell ref="B4:O4"/>
    <mergeCell ref="D17:G17"/>
    <mergeCell ref="E18:G18"/>
    <mergeCell ref="B15:B25"/>
    <mergeCell ref="C15:G15"/>
    <mergeCell ref="D16:G16"/>
    <mergeCell ref="C17:C22"/>
    <mergeCell ref="E19:G19"/>
    <mergeCell ref="E20:G20"/>
    <mergeCell ref="E21:G21"/>
    <mergeCell ref="E22:G22"/>
    <mergeCell ref="E30:G30"/>
    <mergeCell ref="E31:G31"/>
    <mergeCell ref="E67:G67"/>
    <mergeCell ref="E58:G58"/>
    <mergeCell ref="D25:G25"/>
    <mergeCell ref="D23:G23"/>
    <mergeCell ref="C27:G27"/>
    <mergeCell ref="D28:G28"/>
    <mergeCell ref="D24:G24"/>
    <mergeCell ref="D33:G33"/>
    <mergeCell ref="D34:G34"/>
    <mergeCell ref="E32:G32"/>
    <mergeCell ref="C29:C32"/>
    <mergeCell ref="D29:G29"/>
    <mergeCell ref="E47:G47"/>
    <mergeCell ref="D35:G35"/>
    <mergeCell ref="E59:G59"/>
    <mergeCell ref="E65:G65"/>
    <mergeCell ref="E66:G66"/>
    <mergeCell ref="E60:G60"/>
    <mergeCell ref="D36:G36"/>
    <mergeCell ref="D37:G37"/>
    <mergeCell ref="D39:G39"/>
    <mergeCell ref="D38:G38"/>
    <mergeCell ref="E41:G41"/>
    <mergeCell ref="D40:G40"/>
    <mergeCell ref="E42:G42"/>
    <mergeCell ref="E48:G48"/>
    <mergeCell ref="D43:G43"/>
    <mergeCell ref="D44:G44"/>
    <mergeCell ref="E45:G45"/>
    <mergeCell ref="E46:G46"/>
    <mergeCell ref="E63:G63"/>
    <mergeCell ref="E49:G49"/>
    <mergeCell ref="E64:G64"/>
    <mergeCell ref="D50:G50"/>
    <mergeCell ref="C52:G52"/>
    <mergeCell ref="D53:G53"/>
    <mergeCell ref="E54:G54"/>
    <mergeCell ref="E61:G61"/>
    <mergeCell ref="E62:G62"/>
    <mergeCell ref="D57:G57"/>
    <mergeCell ref="E55:G55"/>
    <mergeCell ref="E56:G56"/>
    <mergeCell ref="E69:G69"/>
    <mergeCell ref="E70:G70"/>
    <mergeCell ref="E71:G71"/>
    <mergeCell ref="E72:G72"/>
    <mergeCell ref="D68:G68"/>
    <mergeCell ref="E75:G75"/>
    <mergeCell ref="E76:G76"/>
    <mergeCell ref="E77:G77"/>
    <mergeCell ref="E78:G78"/>
    <mergeCell ref="E73:G73"/>
    <mergeCell ref="E74:G74"/>
    <mergeCell ref="D79:G79"/>
    <mergeCell ref="E80:G80"/>
    <mergeCell ref="E82:G82"/>
    <mergeCell ref="E81:G81"/>
    <mergeCell ref="E84:G84"/>
    <mergeCell ref="D85:G85"/>
    <mergeCell ref="E86:G86"/>
    <mergeCell ref="E87:G87"/>
    <mergeCell ref="E88:G88"/>
    <mergeCell ref="E83:G83"/>
    <mergeCell ref="E89:G89"/>
    <mergeCell ref="D90:G90"/>
    <mergeCell ref="E91:G91"/>
    <mergeCell ref="E92:G92"/>
    <mergeCell ref="D93:G93"/>
    <mergeCell ref="C94:C97"/>
    <mergeCell ref="D94:G94"/>
    <mergeCell ref="E95:G95"/>
    <mergeCell ref="E96:G96"/>
    <mergeCell ref="E97:G97"/>
    <mergeCell ref="D98:G98"/>
    <mergeCell ref="D99:G99"/>
    <mergeCell ref="D100:G100"/>
    <mergeCell ref="C102:G102"/>
    <mergeCell ref="D103:G103"/>
    <mergeCell ref="E104:G104"/>
    <mergeCell ref="E105:G105"/>
    <mergeCell ref="E107:G107"/>
    <mergeCell ref="E106:G106"/>
    <mergeCell ref="D109:G109"/>
    <mergeCell ref="E108:G108"/>
    <mergeCell ref="D110:G110"/>
    <mergeCell ref="D111:G111"/>
    <mergeCell ref="E116:G116"/>
    <mergeCell ref="D118:G118"/>
    <mergeCell ref="C112:C117"/>
    <mergeCell ref="D112:G112"/>
    <mergeCell ref="E113:G113"/>
    <mergeCell ref="E117:G117"/>
    <mergeCell ref="E114:G114"/>
    <mergeCell ref="E115:G115"/>
    <mergeCell ref="D131:G131"/>
    <mergeCell ref="D132:G132"/>
    <mergeCell ref="D133:G133"/>
    <mergeCell ref="C134:G134"/>
    <mergeCell ref="D119:G119"/>
    <mergeCell ref="C121:G121"/>
    <mergeCell ref="D122:G122"/>
    <mergeCell ref="D124:G124"/>
    <mergeCell ref="D123:G123"/>
    <mergeCell ref="D128:G128"/>
    <mergeCell ref="D129:G129"/>
    <mergeCell ref="D130:G130"/>
    <mergeCell ref="D125:G125"/>
    <mergeCell ref="C127:G127"/>
  </mergeCells>
  <phoneticPr fontId="7" type="noConversion"/>
  <conditionalFormatting sqref="K7:L8 K14:K15 K17:L17 K26:K27 K29:L29 K30:K32 K40:L40 K44:L44 K51:L53 K57:L57 K68:L68 K79:L79 K85:L85 K90:L90 K94:L94 K101:L103 K112:L112 K120:L121 K126:L127">
    <cfRule type="cellIs" dxfId="5" priority="1" operator="equal">
      <formula>"NA"</formula>
    </cfRule>
    <cfRule type="containsBlanks" priority="2" stopIfTrue="1">
      <formula>LEN(TRIM(K7))=0</formula>
    </cfRule>
    <cfRule type="cellIs" dxfId="4" priority="3" operator="equal">
      <formula>0</formula>
    </cfRule>
    <cfRule type="cellIs" dxfId="3" priority="4" operator="equal">
      <formula>1</formula>
    </cfRule>
    <cfRule type="cellIs" dxfId="2" priority="5" operator="equal">
      <formula>2</formula>
    </cfRule>
    <cfRule type="cellIs" dxfId="1" priority="6" operator="equal">
      <formula>3</formula>
    </cfRule>
    <cfRule type="cellIs" dxfId="0" priority="7" operator="equal">
      <formula>4</formula>
    </cfRule>
  </conditionalFormatting>
  <dataValidations count="19">
    <dataValidation type="whole" operator="lessThanOrEqual" allowBlank="1" showInputMessage="1" showErrorMessage="1" sqref="R136" xr:uid="{00000000-0002-0000-0000-000000000000}">
      <formula1>4</formula1>
    </dataValidation>
    <dataValidation errorStyle="warning" allowBlank="1" showInputMessage="1" errorTitle="N/A" error="Jika Usaha Jasa, maka sub sub elemen ini diberi nilai N/A" promptTitle="N/A" prompt="Jika Usaha Jasa, maka sub sub elemen ini diberi nilai N/A pada kolom J dan L" sqref="L30:L32" xr:uid="{00000000-0002-0000-0000-000001000000}"/>
    <dataValidation type="list" operator="lessThanOrEqual" allowBlank="1" showErrorMessage="1" prompt="0 = tiada bukti kebijakan._x000a_1 = tinjauan awal dengan syarat dan keterlibatan pekerja belum penuh._x000a_2 = hanya satu aspek terpenuhi._x000a_3 = kebijakan lengkap namun belum dievaluasi._x000a_4 = kebijakan lengkap dan telah dievaluasi." sqref="K122 K128 K118:K119 L113:L117 K9 K109:K111 L104:L108 K34:K39 L41:L42 K43 L45 K50 L54 L56 L58:L67 L69 L74 L78 L80:L84 L87:L89 K93" xr:uid="{00000000-0002-0000-0000-000002000000}">
      <formula1>"0, 1, 2, 3, 4"</formula1>
    </dataValidation>
    <dataValidation type="list" operator="lessThanOrEqual" allowBlank="1" showInputMessage="1" showErrorMessage="1" sqref="K123:K124 L91:L92 L76 K98:K100 L72 K25 L46:L49 L55" xr:uid="{00000000-0002-0000-0000-000003000000}">
      <formula1>"0, 1, 2, 3"</formula1>
    </dataValidation>
    <dataValidation type="list" operator="lessThanOrEqual" allowBlank="1" showInputMessage="1" showErrorMessage="1" sqref="K133 K125 K33 L70:L71 L73 L75 L77 L86 L95:L97 K129:K131" xr:uid="{00000000-0002-0000-0000-000004000000}">
      <formula1>"0, 1, 2"</formula1>
    </dataValidation>
    <dataValidation type="list" operator="lessThanOrEqual" allowBlank="1" showInputMessage="1" showErrorMessage="1" sqref="K132" xr:uid="{00000000-0002-0000-0000-000005000000}">
      <formula1>"0, 1"</formula1>
    </dataValidation>
    <dataValidation type="list" operator="lessThanOrEqual" allowBlank="1" showErrorMessage="1" prompt="0 = tiada bukti isi kebijakan. _x000a_1 = kebijakan tanpa visi/misi atau komitmen. _x000a_2 = kebijakan lengkap tapi tanpa program kerja._x000a_3 = kebijakan lengkap dengan sebagian program kerja._x000a_4 = kebijakan lengkap dan semua isi telah jadi program kerja." sqref="K10" xr:uid="{00000000-0002-0000-0000-000006000000}">
      <formula1>"0, 1, 2, 3, 4"</formula1>
    </dataValidation>
    <dataValidation type="list" operator="lessThanOrEqual" allowBlank="1" showErrorMessage="1" prompt="0 = tiada bukti penetapan kebijakan. _x000a_1 = penetapan tertulis, namun belum disahkan pimpinan. _x000a_2 = penetapan disahkan, tetapi belum bersifat dinamis. _x000a_3 = penetapan tertulis, disahkan, dan bersifat dinamis._x000a_" sqref="K11" xr:uid="{00000000-0002-0000-0000-000007000000}">
      <formula1>"0, 1, 2, 3"</formula1>
    </dataValidation>
    <dataValidation type="list" operator="lessThanOrEqual" allowBlank="1" showErrorMessage="1" prompt="0 = tiada bukti komunikasi kebijakan. _x000a_1 = komunikasi tanpa bahasa dipahami atau media. _x000a_2 = komunikasi hanya penuhi satu syarat (bahasa atau media)._x000a_3 = komunikasi lengkap tapi belum dievaluasi. _x000a_4 = komunikasi lengkap dan dievaluasi._x000a_" sqref="K12" xr:uid="{00000000-0002-0000-0000-000008000000}">
      <formula1>"0, 1, 2, 3, 4"</formula1>
    </dataValidation>
    <dataValidation type="list" allowBlank="1" showErrorMessage="1" prompt="0 = tiada bukti tinjauan._x000a_1 = tinjauan hanya internal, tanpa penyesuaian eksternal._x000a_2 = tinjauan menyesuaikan internal dan eksternal_x000a_3 = tinjauan lengkap dengan sebagian hasil ditindaklanjuti_x000a_4 = tinjauan lengkap dengan seluruh hasil ditindaklanjuti." sqref="K13" xr:uid="{00000000-0002-0000-0000-000009000000}">
      <formula1>"0, 1, 2, 3, 4"</formula1>
    </dataValidation>
    <dataValidation type="list" operator="lessThanOrEqual" allowBlank="1" showErrorMessage="1" prompt="0 = tiada bukti penelaahan awal._x000a_1 = penelaahan ada, tapi tanpa penetapan kinerja. _x000a_2 = penetapan kinerja ada, tapi tidak sesuai kondisi. _x000a_3 = penetapan sesuai, tapi belum sinkron program. _x000a_4 = penelaahan dan penetapan kinerja sinkron dengan program." sqref="K16" xr:uid="{00000000-0002-0000-0000-00000A000000}">
      <formula1>"0, 1, 2, 3, 4"</formula1>
    </dataValidation>
    <dataValidation type="list" operator="lessThanOrEqual" allowBlank="1" showErrorMessage="1" prompt="0 = tiada bukti komunikasi risiko_x000a_1 = komunikasi hanya dengan sebagian pemangku kepentingan_x000a_2 = komunikasi dengan semua pihak, tapi hasil tidak dipertimbangkan_x000a_3 = hasil sebagian dipertimbangkan_x000a_4 = semua hasil dipertimbangkan penuh dalam manajemen risiko" sqref="L18" xr:uid="{00000000-0002-0000-0000-00000B000000}">
      <formula1>"0, 1, 2, 3, 4"</formula1>
    </dataValidation>
    <dataValidation type="list" operator="lessThanOrEqual" allowBlank="1" showErrorMessage="1" prompt="0 = tiada bukti penetapan konteks._x000a_1 = penetapan baru mencakup faktor internal atau eksternal._x000a_2 = penetapan mencakup sebagian faktor internal dan eksternal._x000a_3 = penetapan telah mencakup seluruh faktor internal dan eksternal._x000a_" sqref="L19" xr:uid="{00000000-0002-0000-0000-00000C000000}">
      <formula1>"0, 1, 2, 3"</formula1>
    </dataValidation>
    <dataValidation type="list" operator="lessThanOrEqual" allowBlank="1" showErrorMessage="1" prompt="0 = tiada bukti identifikasi bahaya._x000a_1 = identifikasi bahaya ada, namun belum seluruhnya teridentifikasi._x000a_2 = identifikasi bahaya ada, dan seluruh bahaya telah teridentifikasi._x000a_" sqref="L20" xr:uid="{00000000-0002-0000-0000-00000D000000}">
      <formula1>"0, 1, 2"</formula1>
    </dataValidation>
    <dataValidation type="list" operator="lessThanOrEqual" allowBlank="1" showErrorMessage="1" prompt="0 = tiada bukti penilaian/pengendalian risiko_x000a_1 = penilaian atau pengendalian ada, tapi belum seluruh bahaya/hirarki dipenuhi_x000a_2= penilaian/pengendalian sesuai hirarki, tapi implementasi belum memadai_x000a_3= pengendalian sesuai hirarki dan implementasi memadai" sqref="L21" xr:uid="{00000000-0002-0000-0000-00000E000000}">
      <formula1>"0, 1, 2, 3"</formula1>
    </dataValidation>
    <dataValidation type="list" operator="lessThanOrEqual" allowBlank="1" showErrorMessage="1" prompt="0 = tiada bukti pemantauan/peninjauan risiko._x000a_1 = pemantauan ada, tapi belum periodik/menanggapi perubahan._x000a_2 = pemantauan lengkap, tapi hasilnya belum memadai._x000a_3 = pemantauan lengkap dan hasilnya telah memadai._x000a_" sqref="L22" xr:uid="{00000000-0002-0000-0000-00000F000000}">
      <formula1>"0, 1, 2, 3"</formula1>
    </dataValidation>
    <dataValidation type="list" operator="lessThanOrEqual" allowBlank="1" showErrorMessage="1" prompt="0 = tiada bukti identifikasi/kepatuhan aturan._x000a_1 = identifikasi/pemantauan ada, tapi belum dievaluasi._x000a_2 = evaluasi ada, tapi masih ada ketidakpatuhan._x000a_3 = evaluasi menunjukkan semua ketentuan telah dipatuhi._x000a_" sqref="K23" xr:uid="{00000000-0002-0000-0000-000010000000}">
      <formula1>"0, 1, 2, 3"</formula1>
    </dataValidation>
    <dataValidation type="list" operator="lessThanOrEqual" allowBlank="1" showErrorMessage="1" prompt="0=tiada bukti penetapan tujuan/program_x000a_1=penetapan ada, tapi belum selaras, terukur, dan disahkan_x000a_2=disahkan tapi sebagian besar belum memenuhi ketentuan_x000a_3=selaras/terukur/disahkan, tapi ketentuan program belum penuh_x000a_4=lengkap dan memenuhi semua ketentuan" sqref="K24" xr:uid="{00000000-0002-0000-0000-000011000000}">
      <formula1>"0, 1, 2, 3, 4"</formula1>
    </dataValidation>
    <dataValidation type="list" operator="lessThanOrEqual" allowBlank="1" showErrorMessage="1" prompt="0 = tiada bukti struktur KP._x000a_1 = struktur ada tapi belum terintegrasi._x000a_2 = terintegrasi, tapi belum penuhi ketentuan / dikomunikasikan._x000a_3 =  hanya penuhi satu syarat._x000a_4 = lengkap, terintegrasi, penuhi ketentuan, dan dikomunikasikan." sqref="K28" xr:uid="{00000000-0002-0000-0000-000012000000}">
      <formula1>"0, 1, 2, 3, 4"</formula1>
    </dataValidation>
  </dataValidations>
  <pageMargins left="0.25" right="0.25" top="0.75" bottom="0.75" header="0.3" footer="0.3"/>
  <pageSetup scale="45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CHECKLIST</vt:lpstr>
      <vt:lpstr>CHECKLIST!Print_Titles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Andreas Simorangkir</dc:creator>
  <cp:lastModifiedBy>hendriko runtu</cp:lastModifiedBy>
  <cp:lastPrinted>2019-09-05T08:32:24Z</cp:lastPrinted>
  <dcterms:created xsi:type="dcterms:W3CDTF">2015-02-17T10:24:40Z</dcterms:created>
  <dcterms:modified xsi:type="dcterms:W3CDTF">2026-09-16T03:18:30Z</dcterms:modified>
</cp:coreProperties>
</file>